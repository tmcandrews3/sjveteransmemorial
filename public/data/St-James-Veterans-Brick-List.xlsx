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Documents\Amer Legion\Memorial\Web_Dev\stjames-brickfinder\app\sjveteransmemorial\public\data\"/>
    </mc:Choice>
  </mc:AlternateContent>
  <xr:revisionPtr revIDLastSave="0" documentId="13_ncr:1_{174C81F2-3F14-484D-AB94-6618B884615F}" xr6:coauthVersionLast="47" xr6:coauthVersionMax="47" xr10:uidLastSave="{00000000-0000-0000-0000-000000000000}"/>
  <bookViews>
    <workbookView xWindow="-120" yWindow="-120" windowWidth="38640" windowHeight="21120" xr2:uid="{929D0E65-6B50-4FFF-9781-A5C7A4DE4F90}"/>
  </bookViews>
  <sheets>
    <sheet name="Main" sheetId="1" r:id="rId1"/>
  </sheets>
  <definedNames>
    <definedName name="_xlnm.Print_Area" localSheetId="0">Main!$A$1:$K$989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989" i="1" l="1"/>
  <c r="I989" i="1"/>
  <c r="O989" i="1" s="1"/>
  <c r="J988" i="1"/>
  <c r="I988" i="1"/>
  <c r="M988" i="1" s="1"/>
  <c r="N988" i="1" s="1"/>
  <c r="J987" i="1"/>
  <c r="I987" i="1"/>
  <c r="M987" i="1" s="1"/>
  <c r="N987" i="1" s="1"/>
  <c r="J986" i="1"/>
  <c r="I986" i="1"/>
  <c r="M986" i="1" s="1"/>
  <c r="J985" i="1"/>
  <c r="I985" i="1"/>
  <c r="M985" i="1" s="1"/>
  <c r="J984" i="1"/>
  <c r="I984" i="1"/>
  <c r="J983" i="1"/>
  <c r="I983" i="1"/>
  <c r="O983" i="1" s="1"/>
  <c r="P983" i="1" s="1"/>
  <c r="J982" i="1"/>
  <c r="I982" i="1"/>
  <c r="J981" i="1"/>
  <c r="I981" i="1"/>
  <c r="O981" i="1" s="1"/>
  <c r="J980" i="1"/>
  <c r="I980" i="1"/>
  <c r="M980" i="1" s="1"/>
  <c r="N980" i="1" s="1"/>
  <c r="J979" i="1"/>
  <c r="I979" i="1"/>
  <c r="M979" i="1" s="1"/>
  <c r="J978" i="1"/>
  <c r="I978" i="1"/>
  <c r="J977" i="1"/>
  <c r="I977" i="1"/>
  <c r="O977" i="1" s="1"/>
  <c r="J976" i="1"/>
  <c r="I976" i="1"/>
  <c r="O976" i="1" s="1"/>
  <c r="J975" i="1"/>
  <c r="I975" i="1"/>
  <c r="J974" i="1"/>
  <c r="I974" i="1"/>
  <c r="M974" i="1" s="1"/>
  <c r="J973" i="1"/>
  <c r="I973" i="1"/>
  <c r="M973" i="1" s="1"/>
  <c r="J972" i="1"/>
  <c r="I972" i="1"/>
  <c r="M972" i="1" s="1"/>
  <c r="J971" i="1"/>
  <c r="I971" i="1"/>
  <c r="O971" i="1" s="1"/>
  <c r="P971" i="1" s="1"/>
  <c r="J970" i="1"/>
  <c r="I970" i="1"/>
  <c r="J969" i="1"/>
  <c r="I969" i="1"/>
  <c r="O969" i="1" s="1"/>
  <c r="J968" i="1"/>
  <c r="I968" i="1"/>
  <c r="M968" i="1" s="1"/>
  <c r="N968" i="1" s="1"/>
  <c r="J967" i="1"/>
  <c r="I967" i="1"/>
  <c r="J966" i="1"/>
  <c r="I966" i="1"/>
  <c r="J965" i="1"/>
  <c r="I965" i="1"/>
  <c r="O965" i="1" s="1"/>
  <c r="J964" i="1"/>
  <c r="I964" i="1"/>
  <c r="O964" i="1" s="1"/>
  <c r="P964" i="1" s="1"/>
  <c r="J963" i="1"/>
  <c r="I963" i="1"/>
  <c r="O963" i="1" s="1"/>
  <c r="P963" i="1" s="1"/>
  <c r="J962" i="1"/>
  <c r="I962" i="1"/>
  <c r="K962" i="1" s="1"/>
  <c r="J961" i="1"/>
  <c r="I961" i="1"/>
  <c r="M961" i="1" s="1"/>
  <c r="N961" i="1" s="1"/>
  <c r="J960" i="1"/>
  <c r="I960" i="1"/>
  <c r="M960" i="1" s="1"/>
  <c r="N960" i="1" s="1"/>
  <c r="J959" i="1"/>
  <c r="I959" i="1"/>
  <c r="M959" i="1" s="1"/>
  <c r="J958" i="1"/>
  <c r="I958" i="1"/>
  <c r="J957" i="1"/>
  <c r="I957" i="1"/>
  <c r="J956" i="1"/>
  <c r="I956" i="1"/>
  <c r="J955" i="1"/>
  <c r="I955" i="1"/>
  <c r="O955" i="1" s="1"/>
  <c r="J954" i="1"/>
  <c r="I954" i="1"/>
  <c r="O954" i="1" s="1"/>
  <c r="J953" i="1"/>
  <c r="I953" i="1"/>
  <c r="O953" i="1" s="1"/>
  <c r="J952" i="1"/>
  <c r="I952" i="1"/>
  <c r="O952" i="1" s="1"/>
  <c r="P952" i="1" s="1"/>
  <c r="J951" i="1"/>
  <c r="I951" i="1"/>
  <c r="J950" i="1"/>
  <c r="I950" i="1"/>
  <c r="M949" i="1"/>
  <c r="J949" i="1"/>
  <c r="I949" i="1"/>
  <c r="J948" i="1"/>
  <c r="K948" i="1" s="1"/>
  <c r="I948" i="1"/>
  <c r="M948" i="1" s="1"/>
  <c r="J947" i="1"/>
  <c r="I947" i="1"/>
  <c r="O947" i="1" s="1"/>
  <c r="P947" i="1" s="1"/>
  <c r="J946" i="1"/>
  <c r="I946" i="1"/>
  <c r="J945" i="1"/>
  <c r="I945" i="1"/>
  <c r="J944" i="1"/>
  <c r="I944" i="1"/>
  <c r="M944" i="1" s="1"/>
  <c r="J943" i="1"/>
  <c r="I943" i="1"/>
  <c r="J942" i="1"/>
  <c r="I942" i="1"/>
  <c r="J941" i="1"/>
  <c r="I941" i="1"/>
  <c r="O941" i="1" s="1"/>
  <c r="J940" i="1"/>
  <c r="I940" i="1"/>
  <c r="O940" i="1" s="1"/>
  <c r="J939" i="1"/>
  <c r="I939" i="1"/>
  <c r="M939" i="1" s="1"/>
  <c r="J938" i="1"/>
  <c r="I938" i="1"/>
  <c r="O938" i="1" s="1"/>
  <c r="J937" i="1"/>
  <c r="I937" i="1"/>
  <c r="M937" i="1" s="1"/>
  <c r="J936" i="1"/>
  <c r="I936" i="1"/>
  <c r="J935" i="1"/>
  <c r="I935" i="1"/>
  <c r="O935" i="1" s="1"/>
  <c r="P935" i="1" s="1"/>
  <c r="J934" i="1"/>
  <c r="I934" i="1"/>
  <c r="J933" i="1"/>
  <c r="I933" i="1"/>
  <c r="J932" i="1"/>
  <c r="I932" i="1"/>
  <c r="M932" i="1" s="1"/>
  <c r="J931" i="1"/>
  <c r="I931" i="1"/>
  <c r="J930" i="1"/>
  <c r="I930" i="1"/>
  <c r="J929" i="1"/>
  <c r="I929" i="1"/>
  <c r="O929" i="1" s="1"/>
  <c r="J928" i="1"/>
  <c r="I928" i="1"/>
  <c r="O928" i="1" s="1"/>
  <c r="P928" i="1" s="1"/>
  <c r="J927" i="1"/>
  <c r="I927" i="1"/>
  <c r="O927" i="1" s="1"/>
  <c r="P927" i="1" s="1"/>
  <c r="J926" i="1"/>
  <c r="I926" i="1"/>
  <c r="O926" i="1" s="1"/>
  <c r="J925" i="1"/>
  <c r="I925" i="1"/>
  <c r="M925" i="1" s="1"/>
  <c r="J924" i="1"/>
  <c r="I924" i="1"/>
  <c r="M924" i="1" s="1"/>
  <c r="J923" i="1"/>
  <c r="I923" i="1"/>
  <c r="M923" i="1" s="1"/>
  <c r="J922" i="1"/>
  <c r="I922" i="1"/>
  <c r="J921" i="1"/>
  <c r="I921" i="1"/>
  <c r="J920" i="1"/>
  <c r="I920" i="1"/>
  <c r="J919" i="1"/>
  <c r="I919" i="1"/>
  <c r="J918" i="1"/>
  <c r="I918" i="1"/>
  <c r="J917" i="1"/>
  <c r="I917" i="1"/>
  <c r="O917" i="1" s="1"/>
  <c r="J916" i="1"/>
  <c r="I916" i="1"/>
  <c r="O916" i="1" s="1"/>
  <c r="P916" i="1" s="1"/>
  <c r="J915" i="1"/>
  <c r="I915" i="1"/>
  <c r="O915" i="1" s="1"/>
  <c r="P915" i="1" s="1"/>
  <c r="J914" i="1"/>
  <c r="I914" i="1"/>
  <c r="O914" i="1" s="1"/>
  <c r="J913" i="1"/>
  <c r="I913" i="1"/>
  <c r="M913" i="1" s="1"/>
  <c r="J912" i="1"/>
  <c r="I912" i="1"/>
  <c r="M912" i="1" s="1"/>
  <c r="J911" i="1"/>
  <c r="I911" i="1"/>
  <c r="M911" i="1" s="1"/>
  <c r="N911" i="1" s="1"/>
  <c r="J910" i="1"/>
  <c r="I910" i="1"/>
  <c r="J909" i="1"/>
  <c r="I909" i="1"/>
  <c r="J908" i="1"/>
  <c r="I908" i="1"/>
  <c r="J907" i="1"/>
  <c r="I907" i="1"/>
  <c r="O907" i="1" s="1"/>
  <c r="J906" i="1"/>
  <c r="I906" i="1"/>
  <c r="O906" i="1" s="1"/>
  <c r="J905" i="1"/>
  <c r="I905" i="1"/>
  <c r="O905" i="1" s="1"/>
  <c r="J904" i="1"/>
  <c r="I904" i="1"/>
  <c r="O904" i="1" s="1"/>
  <c r="P904" i="1" s="1"/>
  <c r="J903" i="1"/>
  <c r="I903" i="1"/>
  <c r="O903" i="1" s="1"/>
  <c r="P903" i="1" s="1"/>
  <c r="J902" i="1"/>
  <c r="I902" i="1"/>
  <c r="O902" i="1" s="1"/>
  <c r="J901" i="1"/>
  <c r="I901" i="1"/>
  <c r="M901" i="1" s="1"/>
  <c r="J900" i="1"/>
  <c r="I900" i="1"/>
  <c r="O899" i="1"/>
  <c r="P899" i="1" s="1"/>
  <c r="M899" i="1"/>
  <c r="J899" i="1"/>
  <c r="K899" i="1" s="1"/>
  <c r="I899" i="1"/>
  <c r="J898" i="1"/>
  <c r="I898" i="1"/>
  <c r="J897" i="1"/>
  <c r="I897" i="1"/>
  <c r="J896" i="1"/>
  <c r="I896" i="1"/>
  <c r="O896" i="1" s="1"/>
  <c r="P896" i="1" s="1"/>
  <c r="J895" i="1"/>
  <c r="I895" i="1"/>
  <c r="M895" i="1" s="1"/>
  <c r="J894" i="1"/>
  <c r="I894" i="1"/>
  <c r="J893" i="1"/>
  <c r="I893" i="1"/>
  <c r="O893" i="1" s="1"/>
  <c r="P892" i="1"/>
  <c r="M892" i="1"/>
  <c r="J892" i="1"/>
  <c r="I892" i="1"/>
  <c r="O892" i="1" s="1"/>
  <c r="J891" i="1"/>
  <c r="I891" i="1"/>
  <c r="M891" i="1" s="1"/>
  <c r="J890" i="1"/>
  <c r="I890" i="1"/>
  <c r="O890" i="1" s="1"/>
  <c r="J889" i="1"/>
  <c r="I889" i="1"/>
  <c r="M889" i="1" s="1"/>
  <c r="J888" i="1"/>
  <c r="I888" i="1"/>
  <c r="O888" i="1" s="1"/>
  <c r="P888" i="1" s="1"/>
  <c r="J887" i="1"/>
  <c r="I887" i="1"/>
  <c r="O887" i="1" s="1"/>
  <c r="P887" i="1" s="1"/>
  <c r="J886" i="1"/>
  <c r="I886" i="1"/>
  <c r="J885" i="1"/>
  <c r="I885" i="1"/>
  <c r="J884" i="1"/>
  <c r="I884" i="1"/>
  <c r="J883" i="1"/>
  <c r="I883" i="1"/>
  <c r="M883" i="1" s="1"/>
  <c r="N883" i="1" s="1"/>
  <c r="J882" i="1"/>
  <c r="K882" i="1" s="1"/>
  <c r="I882" i="1"/>
  <c r="O882" i="1" s="1"/>
  <c r="J881" i="1"/>
  <c r="I881" i="1"/>
  <c r="O881" i="1" s="1"/>
  <c r="J880" i="1"/>
  <c r="I880" i="1"/>
  <c r="O880" i="1" s="1"/>
  <c r="J879" i="1"/>
  <c r="I879" i="1"/>
  <c r="M879" i="1" s="1"/>
  <c r="O878" i="1"/>
  <c r="J878" i="1"/>
  <c r="I878" i="1"/>
  <c r="J877" i="1"/>
  <c r="I877" i="1"/>
  <c r="M877" i="1" s="1"/>
  <c r="J876" i="1"/>
  <c r="I876" i="1"/>
  <c r="O876" i="1" s="1"/>
  <c r="P876" i="1" s="1"/>
  <c r="J875" i="1"/>
  <c r="I875" i="1"/>
  <c r="M875" i="1" s="1"/>
  <c r="J874" i="1"/>
  <c r="I874" i="1"/>
  <c r="J873" i="1"/>
  <c r="I873" i="1"/>
  <c r="J872" i="1"/>
  <c r="I872" i="1"/>
  <c r="O872" i="1" s="1"/>
  <c r="P872" i="1" s="1"/>
  <c r="J871" i="1"/>
  <c r="I871" i="1"/>
  <c r="J870" i="1"/>
  <c r="I870" i="1"/>
  <c r="J869" i="1"/>
  <c r="I869" i="1"/>
  <c r="O869" i="1" s="1"/>
  <c r="J868" i="1"/>
  <c r="I868" i="1"/>
  <c r="O868" i="1" s="1"/>
  <c r="J867" i="1"/>
  <c r="I867" i="1"/>
  <c r="J866" i="1"/>
  <c r="I866" i="1"/>
  <c r="O866" i="1" s="1"/>
  <c r="J865" i="1"/>
  <c r="I865" i="1"/>
  <c r="J864" i="1"/>
  <c r="I864" i="1"/>
  <c r="M864" i="1" s="1"/>
  <c r="J863" i="1"/>
  <c r="I863" i="1"/>
  <c r="O863" i="1" s="1"/>
  <c r="P863" i="1" s="1"/>
  <c r="J862" i="1"/>
  <c r="I862" i="1"/>
  <c r="J861" i="1"/>
  <c r="I861" i="1"/>
  <c r="J860" i="1"/>
  <c r="I860" i="1"/>
  <c r="O860" i="1" s="1"/>
  <c r="P860" i="1" s="1"/>
  <c r="J859" i="1"/>
  <c r="I859" i="1"/>
  <c r="O859" i="1" s="1"/>
  <c r="J858" i="1"/>
  <c r="I858" i="1"/>
  <c r="O858" i="1" s="1"/>
  <c r="M857" i="1"/>
  <c r="J857" i="1"/>
  <c r="I857" i="1"/>
  <c r="O857" i="1" s="1"/>
  <c r="J856" i="1"/>
  <c r="I856" i="1"/>
  <c r="O856" i="1" s="1"/>
  <c r="J855" i="1"/>
  <c r="I855" i="1"/>
  <c r="J854" i="1"/>
  <c r="I854" i="1"/>
  <c r="J853" i="1"/>
  <c r="I853" i="1"/>
  <c r="J852" i="1"/>
  <c r="I852" i="1"/>
  <c r="M852" i="1" s="1"/>
  <c r="J851" i="1"/>
  <c r="I851" i="1"/>
  <c r="O851" i="1" s="1"/>
  <c r="P851" i="1" s="1"/>
  <c r="J850" i="1"/>
  <c r="I850" i="1"/>
  <c r="J849" i="1"/>
  <c r="I849" i="1"/>
  <c r="J848" i="1"/>
  <c r="I848" i="1"/>
  <c r="O848" i="1" s="1"/>
  <c r="P848" i="1" s="1"/>
  <c r="J847" i="1"/>
  <c r="I847" i="1"/>
  <c r="M847" i="1" s="1"/>
  <c r="J846" i="1"/>
  <c r="I846" i="1"/>
  <c r="O846" i="1" s="1"/>
  <c r="J845" i="1"/>
  <c r="I845" i="1"/>
  <c r="M845" i="1" s="1"/>
  <c r="N845" i="1" s="1"/>
  <c r="J844" i="1"/>
  <c r="I844" i="1"/>
  <c r="J843" i="1"/>
  <c r="I843" i="1"/>
  <c r="O843" i="1" s="1"/>
  <c r="P843" i="1" s="1"/>
  <c r="J842" i="1"/>
  <c r="I842" i="1"/>
  <c r="O842" i="1" s="1"/>
  <c r="J841" i="1"/>
  <c r="I841" i="1"/>
  <c r="J840" i="1"/>
  <c r="I840" i="1"/>
  <c r="M840" i="1" s="1"/>
  <c r="J839" i="1"/>
  <c r="I839" i="1"/>
  <c r="J838" i="1"/>
  <c r="I838" i="1"/>
  <c r="O838" i="1" s="1"/>
  <c r="J837" i="1"/>
  <c r="I837" i="1"/>
  <c r="J836" i="1"/>
  <c r="I836" i="1"/>
  <c r="J835" i="1"/>
  <c r="I835" i="1"/>
  <c r="M835" i="1" s="1"/>
  <c r="J834" i="1"/>
  <c r="I834" i="1"/>
  <c r="J833" i="1"/>
  <c r="I833" i="1"/>
  <c r="J832" i="1"/>
  <c r="I832" i="1"/>
  <c r="O832" i="1" s="1"/>
  <c r="P832" i="1" s="1"/>
  <c r="J831" i="1"/>
  <c r="I831" i="1"/>
  <c r="O831" i="1" s="1"/>
  <c r="P831" i="1" s="1"/>
  <c r="J830" i="1"/>
  <c r="I830" i="1"/>
  <c r="O830" i="1" s="1"/>
  <c r="J829" i="1"/>
  <c r="I829" i="1"/>
  <c r="M829" i="1" s="1"/>
  <c r="J828" i="1"/>
  <c r="I828" i="1"/>
  <c r="J827" i="1"/>
  <c r="I827" i="1"/>
  <c r="J826" i="1"/>
  <c r="I826" i="1"/>
  <c r="J825" i="1"/>
  <c r="I825" i="1"/>
  <c r="J824" i="1"/>
  <c r="I824" i="1"/>
  <c r="J823" i="1"/>
  <c r="I823" i="1"/>
  <c r="J822" i="1"/>
  <c r="I822" i="1"/>
  <c r="O822" i="1" s="1"/>
  <c r="J821" i="1"/>
  <c r="I821" i="1"/>
  <c r="J820" i="1"/>
  <c r="I820" i="1"/>
  <c r="O820" i="1" s="1"/>
  <c r="P820" i="1" s="1"/>
  <c r="J819" i="1"/>
  <c r="I819" i="1"/>
  <c r="M819" i="1" s="1"/>
  <c r="J818" i="1"/>
  <c r="I818" i="1"/>
  <c r="M818" i="1" s="1"/>
  <c r="J817" i="1"/>
  <c r="I817" i="1"/>
  <c r="J816" i="1"/>
  <c r="I816" i="1"/>
  <c r="M816" i="1" s="1"/>
  <c r="J815" i="1"/>
  <c r="I815" i="1"/>
  <c r="J814" i="1"/>
  <c r="I814" i="1"/>
  <c r="J813" i="1"/>
  <c r="I813" i="1"/>
  <c r="J812" i="1"/>
  <c r="I812" i="1"/>
  <c r="O812" i="1" s="1"/>
  <c r="J811" i="1"/>
  <c r="I811" i="1"/>
  <c r="J810" i="1"/>
  <c r="I810" i="1"/>
  <c r="O810" i="1" s="1"/>
  <c r="J809" i="1"/>
  <c r="I809" i="1"/>
  <c r="M809" i="1" s="1"/>
  <c r="J808" i="1"/>
  <c r="I808" i="1"/>
  <c r="M808" i="1" s="1"/>
  <c r="J807" i="1"/>
  <c r="I807" i="1"/>
  <c r="M807" i="1" s="1"/>
  <c r="J806" i="1"/>
  <c r="I806" i="1"/>
  <c r="M806" i="1" s="1"/>
  <c r="J805" i="1"/>
  <c r="I805" i="1"/>
  <c r="J804" i="1"/>
  <c r="I804" i="1"/>
  <c r="M804" i="1" s="1"/>
  <c r="J803" i="1"/>
  <c r="I803" i="1"/>
  <c r="M803" i="1" s="1"/>
  <c r="J802" i="1"/>
  <c r="I802" i="1"/>
  <c r="M802" i="1" s="1"/>
  <c r="J801" i="1"/>
  <c r="I801" i="1"/>
  <c r="J800" i="1"/>
  <c r="I800" i="1"/>
  <c r="O800" i="1" s="1"/>
  <c r="J799" i="1"/>
  <c r="I799" i="1"/>
  <c r="O799" i="1" s="1"/>
  <c r="P799" i="1" s="1"/>
  <c r="J798" i="1"/>
  <c r="I798" i="1"/>
  <c r="M798" i="1" s="1"/>
  <c r="J797" i="1"/>
  <c r="I797" i="1"/>
  <c r="J796" i="1"/>
  <c r="I796" i="1"/>
  <c r="O796" i="1" s="1"/>
  <c r="J795" i="1"/>
  <c r="I795" i="1"/>
  <c r="J794" i="1"/>
  <c r="I794" i="1"/>
  <c r="M794" i="1" s="1"/>
  <c r="J793" i="1"/>
  <c r="I793" i="1"/>
  <c r="J792" i="1"/>
  <c r="I792" i="1"/>
  <c r="O792" i="1" s="1"/>
  <c r="J791" i="1"/>
  <c r="I791" i="1"/>
  <c r="O791" i="1" s="1"/>
  <c r="P791" i="1" s="1"/>
  <c r="J790" i="1"/>
  <c r="I790" i="1"/>
  <c r="J789" i="1"/>
  <c r="I789" i="1"/>
  <c r="J788" i="1"/>
  <c r="I788" i="1"/>
  <c r="J787" i="1"/>
  <c r="I787" i="1"/>
  <c r="O787" i="1" s="1"/>
  <c r="P787" i="1" s="1"/>
  <c r="J786" i="1"/>
  <c r="I786" i="1"/>
  <c r="O785" i="1"/>
  <c r="J785" i="1"/>
  <c r="I785" i="1"/>
  <c r="M785" i="1" s="1"/>
  <c r="J784" i="1"/>
  <c r="I784" i="1"/>
  <c r="J783" i="1"/>
  <c r="I783" i="1"/>
  <c r="O783" i="1" s="1"/>
  <c r="P783" i="1" s="1"/>
  <c r="J782" i="1"/>
  <c r="I782" i="1"/>
  <c r="M782" i="1" s="1"/>
  <c r="J781" i="1"/>
  <c r="I781" i="1"/>
  <c r="J780" i="1"/>
  <c r="I780" i="1"/>
  <c r="M780" i="1" s="1"/>
  <c r="J779" i="1"/>
  <c r="I779" i="1"/>
  <c r="M779" i="1" s="1"/>
  <c r="J778" i="1"/>
  <c r="I778" i="1"/>
  <c r="J777" i="1"/>
  <c r="I777" i="1"/>
  <c r="J776" i="1"/>
  <c r="I776" i="1"/>
  <c r="J775" i="1"/>
  <c r="I775" i="1"/>
  <c r="J774" i="1"/>
  <c r="I774" i="1"/>
  <c r="J773" i="1"/>
  <c r="I773" i="1"/>
  <c r="M773" i="1" s="1"/>
  <c r="J772" i="1"/>
  <c r="I772" i="1"/>
  <c r="J771" i="1"/>
  <c r="I771" i="1"/>
  <c r="O771" i="1" s="1"/>
  <c r="P771" i="1" s="1"/>
  <c r="J770" i="1"/>
  <c r="I770" i="1"/>
  <c r="K770" i="1" s="1"/>
  <c r="J769" i="1"/>
  <c r="I769" i="1"/>
  <c r="J768" i="1"/>
  <c r="I768" i="1"/>
  <c r="J767" i="1"/>
  <c r="I767" i="1"/>
  <c r="M767" i="1" s="1"/>
  <c r="J766" i="1"/>
  <c r="I766" i="1"/>
  <c r="M766" i="1" s="1"/>
  <c r="J765" i="1"/>
  <c r="I765" i="1"/>
  <c r="J764" i="1"/>
  <c r="I764" i="1"/>
  <c r="J763" i="1"/>
  <c r="I763" i="1"/>
  <c r="O763" i="1" s="1"/>
  <c r="P763" i="1" s="1"/>
  <c r="J762" i="1"/>
  <c r="I762" i="1"/>
  <c r="K762" i="1" s="1"/>
  <c r="J761" i="1"/>
  <c r="I761" i="1"/>
  <c r="J760" i="1"/>
  <c r="I760" i="1"/>
  <c r="J759" i="1"/>
  <c r="I759" i="1"/>
  <c r="O759" i="1" s="1"/>
  <c r="P759" i="1" s="1"/>
  <c r="J758" i="1"/>
  <c r="I758" i="1"/>
  <c r="O758" i="1" s="1"/>
  <c r="J757" i="1"/>
  <c r="I757" i="1"/>
  <c r="J756" i="1"/>
  <c r="I756" i="1"/>
  <c r="J755" i="1"/>
  <c r="I755" i="1"/>
  <c r="M755" i="1" s="1"/>
  <c r="J754" i="1"/>
  <c r="I754" i="1"/>
  <c r="M754" i="1" s="1"/>
  <c r="J753" i="1"/>
  <c r="I753" i="1"/>
  <c r="J752" i="1"/>
  <c r="I752" i="1"/>
  <c r="J751" i="1"/>
  <c r="I751" i="1"/>
  <c r="J750" i="1"/>
  <c r="I750" i="1"/>
  <c r="J749" i="1"/>
  <c r="I749" i="1"/>
  <c r="M749" i="1" s="1"/>
  <c r="J748" i="1"/>
  <c r="I748" i="1"/>
  <c r="J747" i="1"/>
  <c r="I747" i="1"/>
  <c r="O747" i="1" s="1"/>
  <c r="J746" i="1"/>
  <c r="I746" i="1"/>
  <c r="J745" i="1"/>
  <c r="I745" i="1"/>
  <c r="J744" i="1"/>
  <c r="I744" i="1"/>
  <c r="M744" i="1" s="1"/>
  <c r="N744" i="1" s="1"/>
  <c r="J743" i="1"/>
  <c r="I743" i="1"/>
  <c r="M743" i="1" s="1"/>
  <c r="J742" i="1"/>
  <c r="I742" i="1"/>
  <c r="J741" i="1"/>
  <c r="I741" i="1"/>
  <c r="O741" i="1" s="1"/>
  <c r="J740" i="1"/>
  <c r="I740" i="1"/>
  <c r="J739" i="1"/>
  <c r="I739" i="1"/>
  <c r="O739" i="1" s="1"/>
  <c r="P739" i="1" s="1"/>
  <c r="J738" i="1"/>
  <c r="I738" i="1"/>
  <c r="M738" i="1" s="1"/>
  <c r="J737" i="1"/>
  <c r="I737" i="1"/>
  <c r="J736" i="1"/>
  <c r="I736" i="1"/>
  <c r="J735" i="1"/>
  <c r="I735" i="1"/>
  <c r="J734" i="1"/>
  <c r="I734" i="1"/>
  <c r="J733" i="1"/>
  <c r="I733" i="1"/>
  <c r="J732" i="1"/>
  <c r="I732" i="1"/>
  <c r="J731" i="1"/>
  <c r="I731" i="1"/>
  <c r="M731" i="1" s="1"/>
  <c r="J730" i="1"/>
  <c r="K730" i="1" s="1"/>
  <c r="I730" i="1"/>
  <c r="M730" i="1" s="1"/>
  <c r="J729" i="1"/>
  <c r="I729" i="1"/>
  <c r="J728" i="1"/>
  <c r="I728" i="1"/>
  <c r="J727" i="1"/>
  <c r="I727" i="1"/>
  <c r="J726" i="1"/>
  <c r="I726" i="1"/>
  <c r="M726" i="1" s="1"/>
  <c r="J725" i="1"/>
  <c r="I725" i="1"/>
  <c r="J724" i="1"/>
  <c r="I724" i="1"/>
  <c r="O724" i="1" s="1"/>
  <c r="J723" i="1"/>
  <c r="I723" i="1"/>
  <c r="O723" i="1" s="1"/>
  <c r="J722" i="1"/>
  <c r="I722" i="1"/>
  <c r="M722" i="1" s="1"/>
  <c r="N722" i="1" s="1"/>
  <c r="J721" i="1"/>
  <c r="I721" i="1"/>
  <c r="J720" i="1"/>
  <c r="I720" i="1"/>
  <c r="J719" i="1"/>
  <c r="I719" i="1"/>
  <c r="O719" i="1" s="1"/>
  <c r="J718" i="1"/>
  <c r="I718" i="1"/>
  <c r="M718" i="1" s="1"/>
  <c r="J717" i="1"/>
  <c r="I717" i="1"/>
  <c r="J716" i="1"/>
  <c r="I716" i="1"/>
  <c r="J715" i="1"/>
  <c r="I715" i="1"/>
  <c r="M715" i="1" s="1"/>
  <c r="N715" i="1" s="1"/>
  <c r="O714" i="1"/>
  <c r="J714" i="1"/>
  <c r="I714" i="1"/>
  <c r="M714" i="1" s="1"/>
  <c r="J713" i="1"/>
  <c r="I713" i="1"/>
  <c r="O713" i="1" s="1"/>
  <c r="J712" i="1"/>
  <c r="I712" i="1"/>
  <c r="J711" i="1"/>
  <c r="I711" i="1"/>
  <c r="O711" i="1" s="1"/>
  <c r="J710" i="1"/>
  <c r="I710" i="1"/>
  <c r="O710" i="1" s="1"/>
  <c r="J709" i="1"/>
  <c r="I709" i="1"/>
  <c r="J708" i="1"/>
  <c r="I708" i="1"/>
  <c r="J707" i="1"/>
  <c r="I707" i="1"/>
  <c r="J706" i="1"/>
  <c r="I706" i="1"/>
  <c r="J705" i="1"/>
  <c r="I705" i="1"/>
  <c r="J704" i="1"/>
  <c r="I704" i="1"/>
  <c r="M704" i="1" s="1"/>
  <c r="J703" i="1"/>
  <c r="I703" i="1"/>
  <c r="M703" i="1" s="1"/>
  <c r="J702" i="1"/>
  <c r="I702" i="1"/>
  <c r="M702" i="1" s="1"/>
  <c r="N702" i="1" s="1"/>
  <c r="J701" i="1"/>
  <c r="I701" i="1"/>
  <c r="J700" i="1"/>
  <c r="I700" i="1"/>
  <c r="J699" i="1"/>
  <c r="I699" i="1"/>
  <c r="O699" i="1" s="1"/>
  <c r="M698" i="1"/>
  <c r="N698" i="1" s="1"/>
  <c r="J698" i="1"/>
  <c r="I698" i="1"/>
  <c r="O698" i="1" s="1"/>
  <c r="P698" i="1" s="1"/>
  <c r="J697" i="1"/>
  <c r="I697" i="1"/>
  <c r="M697" i="1" s="1"/>
  <c r="J696" i="1"/>
  <c r="I696" i="1"/>
  <c r="O696" i="1" s="1"/>
  <c r="P696" i="1" s="1"/>
  <c r="J695" i="1"/>
  <c r="I695" i="1"/>
  <c r="J694" i="1"/>
  <c r="I694" i="1"/>
  <c r="M694" i="1" s="1"/>
  <c r="J693" i="1"/>
  <c r="I693" i="1"/>
  <c r="J692" i="1"/>
  <c r="I692" i="1"/>
  <c r="J691" i="1"/>
  <c r="I691" i="1"/>
  <c r="O691" i="1" s="1"/>
  <c r="P691" i="1" s="1"/>
  <c r="J690" i="1"/>
  <c r="I690" i="1"/>
  <c r="O690" i="1" s="1"/>
  <c r="P690" i="1" s="1"/>
  <c r="J689" i="1"/>
  <c r="I689" i="1"/>
  <c r="J688" i="1"/>
  <c r="I688" i="1"/>
  <c r="O688" i="1" s="1"/>
  <c r="P688" i="1" s="1"/>
  <c r="J687" i="1"/>
  <c r="I687" i="1"/>
  <c r="O687" i="1" s="1"/>
  <c r="J686" i="1"/>
  <c r="I686" i="1"/>
  <c r="J685" i="1"/>
  <c r="I685" i="1"/>
  <c r="J684" i="1"/>
  <c r="I684" i="1"/>
  <c r="J683" i="1"/>
  <c r="I683" i="1"/>
  <c r="J682" i="1"/>
  <c r="I682" i="1"/>
  <c r="M682" i="1" s="1"/>
  <c r="J681" i="1"/>
  <c r="I681" i="1"/>
  <c r="J680" i="1"/>
  <c r="I680" i="1"/>
  <c r="J679" i="1"/>
  <c r="I679" i="1"/>
  <c r="O679" i="1" s="1"/>
  <c r="P679" i="1" s="1"/>
  <c r="J678" i="1"/>
  <c r="I678" i="1"/>
  <c r="J677" i="1"/>
  <c r="I677" i="1"/>
  <c r="J676" i="1"/>
  <c r="I676" i="1"/>
  <c r="J675" i="1"/>
  <c r="K675" i="1" s="1"/>
  <c r="I675" i="1"/>
  <c r="O675" i="1" s="1"/>
  <c r="J674" i="1"/>
  <c r="I674" i="1"/>
  <c r="O674" i="1" s="1"/>
  <c r="P674" i="1" s="1"/>
  <c r="J673" i="1"/>
  <c r="I673" i="1"/>
  <c r="J672" i="1"/>
  <c r="I672" i="1"/>
  <c r="M672" i="1" s="1"/>
  <c r="M671" i="1"/>
  <c r="N671" i="1" s="1"/>
  <c r="J671" i="1"/>
  <c r="I671" i="1"/>
  <c r="J670" i="1"/>
  <c r="K670" i="1" s="1"/>
  <c r="I670" i="1"/>
  <c r="M670" i="1" s="1"/>
  <c r="J669" i="1"/>
  <c r="I669" i="1"/>
  <c r="M669" i="1" s="1"/>
  <c r="N669" i="1" s="1"/>
  <c r="J668" i="1"/>
  <c r="I668" i="1"/>
  <c r="J667" i="1"/>
  <c r="I667" i="1"/>
  <c r="J666" i="1"/>
  <c r="I666" i="1"/>
  <c r="O666" i="1" s="1"/>
  <c r="P666" i="1" s="1"/>
  <c r="J665" i="1"/>
  <c r="I665" i="1"/>
  <c r="J664" i="1"/>
  <c r="I664" i="1"/>
  <c r="J663" i="1"/>
  <c r="I663" i="1"/>
  <c r="O663" i="1" s="1"/>
  <c r="P663" i="1" s="1"/>
  <c r="J662" i="1"/>
  <c r="I662" i="1"/>
  <c r="O662" i="1" s="1"/>
  <c r="P662" i="1" s="1"/>
  <c r="J661" i="1"/>
  <c r="I661" i="1"/>
  <c r="K661" i="1" s="1"/>
  <c r="O660" i="1"/>
  <c r="P660" i="1" s="1"/>
  <c r="M660" i="1"/>
  <c r="J660" i="1"/>
  <c r="I660" i="1"/>
  <c r="J659" i="1"/>
  <c r="I659" i="1"/>
  <c r="J658" i="1"/>
  <c r="I658" i="1"/>
  <c r="M658" i="1" s="1"/>
  <c r="J657" i="1"/>
  <c r="I657" i="1"/>
  <c r="O657" i="1" s="1"/>
  <c r="J656" i="1"/>
  <c r="I656" i="1"/>
  <c r="O656" i="1" s="1"/>
  <c r="J655" i="1"/>
  <c r="I655" i="1"/>
  <c r="J654" i="1"/>
  <c r="I654" i="1"/>
  <c r="M654" i="1" s="1"/>
  <c r="J653" i="1"/>
  <c r="I653" i="1"/>
  <c r="J652" i="1"/>
  <c r="I652" i="1"/>
  <c r="O652" i="1" s="1"/>
  <c r="J651" i="1"/>
  <c r="I651" i="1"/>
  <c r="J650" i="1"/>
  <c r="I650" i="1"/>
  <c r="M650" i="1" s="1"/>
  <c r="J649" i="1"/>
  <c r="I649" i="1"/>
  <c r="M649" i="1" s="1"/>
  <c r="J648" i="1"/>
  <c r="I648" i="1"/>
  <c r="J647" i="1"/>
  <c r="I647" i="1"/>
  <c r="J646" i="1"/>
  <c r="I646" i="1"/>
  <c r="M646" i="1" s="1"/>
  <c r="J645" i="1"/>
  <c r="I645" i="1"/>
  <c r="J644" i="1"/>
  <c r="I644" i="1"/>
  <c r="O644" i="1" s="1"/>
  <c r="J643" i="1"/>
  <c r="K643" i="1" s="1"/>
  <c r="I643" i="1"/>
  <c r="M643" i="1" s="1"/>
  <c r="J642" i="1"/>
  <c r="I642" i="1"/>
  <c r="O642" i="1" s="1"/>
  <c r="P642" i="1" s="1"/>
  <c r="J641" i="1"/>
  <c r="I641" i="1"/>
  <c r="M641" i="1" s="1"/>
  <c r="J640" i="1"/>
  <c r="I640" i="1"/>
  <c r="O640" i="1" s="1"/>
  <c r="P640" i="1" s="1"/>
  <c r="J639" i="1"/>
  <c r="I639" i="1"/>
  <c r="M639" i="1" s="1"/>
  <c r="J638" i="1"/>
  <c r="I638" i="1"/>
  <c r="M638" i="1" s="1"/>
  <c r="J637" i="1"/>
  <c r="I637" i="1"/>
  <c r="J636" i="1"/>
  <c r="I636" i="1"/>
  <c r="J635" i="1"/>
  <c r="I635" i="1"/>
  <c r="O635" i="1" s="1"/>
  <c r="P635" i="1" s="1"/>
  <c r="J634" i="1"/>
  <c r="I634" i="1"/>
  <c r="M634" i="1" s="1"/>
  <c r="J633" i="1"/>
  <c r="I633" i="1"/>
  <c r="O633" i="1" s="1"/>
  <c r="P633" i="1" s="1"/>
  <c r="J632" i="1"/>
  <c r="I632" i="1"/>
  <c r="M632" i="1" s="1"/>
  <c r="N632" i="1" s="1"/>
  <c r="J631" i="1"/>
  <c r="K631" i="1" s="1"/>
  <c r="I631" i="1"/>
  <c r="O631" i="1" s="1"/>
  <c r="J630" i="1"/>
  <c r="I630" i="1"/>
  <c r="O630" i="1" s="1"/>
  <c r="O629" i="1"/>
  <c r="J629" i="1"/>
  <c r="I629" i="1"/>
  <c r="M629" i="1" s="1"/>
  <c r="J628" i="1"/>
  <c r="I628" i="1"/>
  <c r="J627" i="1"/>
  <c r="K627" i="1" s="1"/>
  <c r="I627" i="1"/>
  <c r="O627" i="1" s="1"/>
  <c r="J626" i="1"/>
  <c r="I626" i="1"/>
  <c r="M626" i="1" s="1"/>
  <c r="J625" i="1"/>
  <c r="I625" i="1"/>
  <c r="J624" i="1"/>
  <c r="I624" i="1"/>
  <c r="J623" i="1"/>
  <c r="I623" i="1"/>
  <c r="O623" i="1" s="1"/>
  <c r="P623" i="1" s="1"/>
  <c r="J622" i="1"/>
  <c r="I622" i="1"/>
  <c r="M622" i="1" s="1"/>
  <c r="J621" i="1"/>
  <c r="I621" i="1"/>
  <c r="O621" i="1" s="1"/>
  <c r="P621" i="1" s="1"/>
  <c r="J620" i="1"/>
  <c r="I620" i="1"/>
  <c r="M620" i="1" s="1"/>
  <c r="J619" i="1"/>
  <c r="I619" i="1"/>
  <c r="M619" i="1" s="1"/>
  <c r="J618" i="1"/>
  <c r="I618" i="1"/>
  <c r="M618" i="1" s="1"/>
  <c r="J617" i="1"/>
  <c r="I617" i="1"/>
  <c r="J616" i="1"/>
  <c r="I616" i="1"/>
  <c r="O616" i="1" s="1"/>
  <c r="J615" i="1"/>
  <c r="I615" i="1"/>
  <c r="K615" i="1" s="1"/>
  <c r="J614" i="1"/>
  <c r="I614" i="1"/>
  <c r="J613" i="1"/>
  <c r="I613" i="1"/>
  <c r="J612" i="1"/>
  <c r="I612" i="1"/>
  <c r="O612" i="1" s="1"/>
  <c r="P612" i="1" s="1"/>
  <c r="J611" i="1"/>
  <c r="I611" i="1"/>
  <c r="J610" i="1"/>
  <c r="I610" i="1"/>
  <c r="M610" i="1" s="1"/>
  <c r="J609" i="1"/>
  <c r="I609" i="1"/>
  <c r="J608" i="1"/>
  <c r="I608" i="1"/>
  <c r="M608" i="1" s="1"/>
  <c r="J607" i="1"/>
  <c r="I607" i="1"/>
  <c r="M607" i="1" s="1"/>
  <c r="J606" i="1"/>
  <c r="I606" i="1"/>
  <c r="M606" i="1" s="1"/>
  <c r="J605" i="1"/>
  <c r="I605" i="1"/>
  <c r="O605" i="1" s="1"/>
  <c r="J604" i="1"/>
  <c r="I604" i="1"/>
  <c r="M604" i="1" s="1"/>
  <c r="J603" i="1"/>
  <c r="I603" i="1"/>
  <c r="K603" i="1" s="1"/>
  <c r="J602" i="1"/>
  <c r="I602" i="1"/>
  <c r="M602" i="1" s="1"/>
  <c r="J601" i="1"/>
  <c r="I601" i="1"/>
  <c r="J600" i="1"/>
  <c r="I600" i="1"/>
  <c r="J599" i="1"/>
  <c r="I599" i="1"/>
  <c r="O599" i="1" s="1"/>
  <c r="J598" i="1"/>
  <c r="I598" i="1"/>
  <c r="J597" i="1"/>
  <c r="I597" i="1"/>
  <c r="J596" i="1"/>
  <c r="I596" i="1"/>
  <c r="M596" i="1" s="1"/>
  <c r="J595" i="1"/>
  <c r="I595" i="1"/>
  <c r="M595" i="1" s="1"/>
  <c r="J594" i="1"/>
  <c r="I594" i="1"/>
  <c r="J593" i="1"/>
  <c r="I593" i="1"/>
  <c r="O593" i="1" s="1"/>
  <c r="J592" i="1"/>
  <c r="I592" i="1"/>
  <c r="O592" i="1" s="1"/>
  <c r="J591" i="1"/>
  <c r="K591" i="1" s="1"/>
  <c r="I591" i="1"/>
  <c r="J590" i="1"/>
  <c r="I590" i="1"/>
  <c r="M590" i="1" s="1"/>
  <c r="J589" i="1"/>
  <c r="I589" i="1"/>
  <c r="J588" i="1"/>
  <c r="I588" i="1"/>
  <c r="M588" i="1" s="1"/>
  <c r="N588" i="1" s="1"/>
  <c r="J587" i="1"/>
  <c r="I587" i="1"/>
  <c r="J586" i="1"/>
  <c r="I586" i="1"/>
  <c r="M586" i="1" s="1"/>
  <c r="J585" i="1"/>
  <c r="I585" i="1"/>
  <c r="O585" i="1" s="1"/>
  <c r="J584" i="1"/>
  <c r="I584" i="1"/>
  <c r="M584" i="1" s="1"/>
  <c r="J583" i="1"/>
  <c r="K583" i="1" s="1"/>
  <c r="I583" i="1"/>
  <c r="O583" i="1" s="1"/>
  <c r="J582" i="1"/>
  <c r="I582" i="1"/>
  <c r="O582" i="1" s="1"/>
  <c r="J581" i="1"/>
  <c r="I581" i="1"/>
  <c r="J580" i="1"/>
  <c r="I580" i="1"/>
  <c r="M580" i="1" s="1"/>
  <c r="J579" i="1"/>
  <c r="I579" i="1"/>
  <c r="J578" i="1"/>
  <c r="I578" i="1"/>
  <c r="O578" i="1" s="1"/>
  <c r="P578" i="1" s="1"/>
  <c r="J577" i="1"/>
  <c r="I577" i="1"/>
  <c r="M576" i="1"/>
  <c r="J576" i="1"/>
  <c r="I576" i="1"/>
  <c r="O576" i="1" s="1"/>
  <c r="P576" i="1" s="1"/>
  <c r="J575" i="1"/>
  <c r="I575" i="1"/>
  <c r="O575" i="1" s="1"/>
  <c r="J574" i="1"/>
  <c r="I574" i="1"/>
  <c r="O574" i="1" s="1"/>
  <c r="J573" i="1"/>
  <c r="I573" i="1"/>
  <c r="J572" i="1"/>
  <c r="I572" i="1"/>
  <c r="M572" i="1" s="1"/>
  <c r="J571" i="1"/>
  <c r="I571" i="1"/>
  <c r="J570" i="1"/>
  <c r="I570" i="1"/>
  <c r="M570" i="1" s="1"/>
  <c r="J569" i="1"/>
  <c r="I569" i="1"/>
  <c r="J568" i="1"/>
  <c r="I568" i="1"/>
  <c r="J567" i="1"/>
  <c r="I567" i="1"/>
  <c r="O567" i="1" s="1"/>
  <c r="J566" i="1"/>
  <c r="I566" i="1"/>
  <c r="O566" i="1" s="1"/>
  <c r="P566" i="1" s="1"/>
  <c r="J565" i="1"/>
  <c r="I565" i="1"/>
  <c r="J564" i="1"/>
  <c r="I564" i="1"/>
  <c r="M564" i="1" s="1"/>
  <c r="O563" i="1"/>
  <c r="P563" i="1" s="1"/>
  <c r="J563" i="1"/>
  <c r="K563" i="1" s="1"/>
  <c r="I563" i="1"/>
  <c r="M563" i="1" s="1"/>
  <c r="J562" i="1"/>
  <c r="I562" i="1"/>
  <c r="M562" i="1" s="1"/>
  <c r="J561" i="1"/>
  <c r="I561" i="1"/>
  <c r="J560" i="1"/>
  <c r="I560" i="1"/>
  <c r="J559" i="1"/>
  <c r="I559" i="1"/>
  <c r="O559" i="1" s="1"/>
  <c r="P559" i="1" s="1"/>
  <c r="J558" i="1"/>
  <c r="I558" i="1"/>
  <c r="J557" i="1"/>
  <c r="I557" i="1"/>
  <c r="O556" i="1"/>
  <c r="P556" i="1" s="1"/>
  <c r="J556" i="1"/>
  <c r="N556" i="1" s="1"/>
  <c r="I556" i="1"/>
  <c r="M556" i="1" s="1"/>
  <c r="J555" i="1"/>
  <c r="I555" i="1"/>
  <c r="J554" i="1"/>
  <c r="I554" i="1"/>
  <c r="J553" i="1"/>
  <c r="I553" i="1"/>
  <c r="M553" i="1" s="1"/>
  <c r="J552" i="1"/>
  <c r="I552" i="1"/>
  <c r="O552" i="1" s="1"/>
  <c r="P552" i="1" s="1"/>
  <c r="J551" i="1"/>
  <c r="I551" i="1"/>
  <c r="M551" i="1" s="1"/>
  <c r="J550" i="1"/>
  <c r="I550" i="1"/>
  <c r="O550" i="1" s="1"/>
  <c r="J549" i="1"/>
  <c r="I549" i="1"/>
  <c r="M549" i="1" s="1"/>
  <c r="N549" i="1" s="1"/>
  <c r="J548" i="1"/>
  <c r="I548" i="1"/>
  <c r="J547" i="1"/>
  <c r="I547" i="1"/>
  <c r="J546" i="1"/>
  <c r="I546" i="1"/>
  <c r="J545" i="1"/>
  <c r="I545" i="1"/>
  <c r="O545" i="1" s="1"/>
  <c r="J544" i="1"/>
  <c r="I544" i="1"/>
  <c r="O544" i="1" s="1"/>
  <c r="J543" i="1"/>
  <c r="I543" i="1"/>
  <c r="O543" i="1" s="1"/>
  <c r="J542" i="1"/>
  <c r="I542" i="1"/>
  <c r="J541" i="1"/>
  <c r="I541" i="1"/>
  <c r="O541" i="1" s="1"/>
  <c r="J540" i="1"/>
  <c r="I540" i="1"/>
  <c r="M540" i="1" s="1"/>
  <c r="N540" i="1" s="1"/>
  <c r="J539" i="1"/>
  <c r="I539" i="1"/>
  <c r="M539" i="1" s="1"/>
  <c r="J538" i="1"/>
  <c r="I538" i="1"/>
  <c r="J537" i="1"/>
  <c r="I537" i="1"/>
  <c r="O537" i="1" s="1"/>
  <c r="J536" i="1"/>
  <c r="I536" i="1"/>
  <c r="M536" i="1" s="1"/>
  <c r="J535" i="1"/>
  <c r="I535" i="1"/>
  <c r="J534" i="1"/>
  <c r="I534" i="1"/>
  <c r="J533" i="1"/>
  <c r="I533" i="1"/>
  <c r="J532" i="1"/>
  <c r="I532" i="1"/>
  <c r="J531" i="1"/>
  <c r="I531" i="1"/>
  <c r="O531" i="1" s="1"/>
  <c r="M530" i="1"/>
  <c r="J530" i="1"/>
  <c r="K530" i="1" s="1"/>
  <c r="I530" i="1"/>
  <c r="O530" i="1" s="1"/>
  <c r="P530" i="1" s="1"/>
  <c r="J529" i="1"/>
  <c r="I529" i="1"/>
  <c r="O529" i="1" s="1"/>
  <c r="J528" i="1"/>
  <c r="I528" i="1"/>
  <c r="J527" i="1"/>
  <c r="I527" i="1"/>
  <c r="O527" i="1" s="1"/>
  <c r="J526" i="1"/>
  <c r="I526" i="1"/>
  <c r="M526" i="1" s="1"/>
  <c r="J525" i="1"/>
  <c r="I525" i="1"/>
  <c r="M525" i="1" s="1"/>
  <c r="J524" i="1"/>
  <c r="I524" i="1"/>
  <c r="J523" i="1"/>
  <c r="I523" i="1"/>
  <c r="J522" i="1"/>
  <c r="I522" i="1"/>
  <c r="M522" i="1" s="1"/>
  <c r="J521" i="1"/>
  <c r="I521" i="1"/>
  <c r="M521" i="1" s="1"/>
  <c r="J520" i="1"/>
  <c r="I520" i="1"/>
  <c r="M520" i="1" s="1"/>
  <c r="J519" i="1"/>
  <c r="I519" i="1"/>
  <c r="J518" i="1"/>
  <c r="I518" i="1"/>
  <c r="O518" i="1" s="1"/>
  <c r="P518" i="1" s="1"/>
  <c r="O517" i="1"/>
  <c r="P517" i="1" s="1"/>
  <c r="M517" i="1"/>
  <c r="J517" i="1"/>
  <c r="I517" i="1"/>
  <c r="J516" i="1"/>
  <c r="I516" i="1"/>
  <c r="J515" i="1"/>
  <c r="I515" i="1"/>
  <c r="J514" i="1"/>
  <c r="I514" i="1"/>
  <c r="J513" i="1"/>
  <c r="I513" i="1"/>
  <c r="J512" i="1"/>
  <c r="I512" i="1"/>
  <c r="M512" i="1" s="1"/>
  <c r="J511" i="1"/>
  <c r="K511" i="1" s="1"/>
  <c r="I511" i="1"/>
  <c r="J510" i="1"/>
  <c r="I510" i="1"/>
  <c r="J509" i="1"/>
  <c r="I509" i="1"/>
  <c r="M509" i="1" s="1"/>
  <c r="J508" i="1"/>
  <c r="I508" i="1"/>
  <c r="J507" i="1"/>
  <c r="I507" i="1"/>
  <c r="O506" i="1"/>
  <c r="P506" i="1" s="1"/>
  <c r="M506" i="1"/>
  <c r="J506" i="1"/>
  <c r="I506" i="1"/>
  <c r="J505" i="1"/>
  <c r="I505" i="1"/>
  <c r="J504" i="1"/>
  <c r="I504" i="1"/>
  <c r="M504" i="1" s="1"/>
  <c r="J503" i="1"/>
  <c r="I503" i="1"/>
  <c r="O503" i="1" s="1"/>
  <c r="J502" i="1"/>
  <c r="I502" i="1"/>
  <c r="M502" i="1" s="1"/>
  <c r="J501" i="1"/>
  <c r="I501" i="1"/>
  <c r="J500" i="1"/>
  <c r="I500" i="1"/>
  <c r="J499" i="1"/>
  <c r="I499" i="1"/>
  <c r="M499" i="1" s="1"/>
  <c r="N499" i="1" s="1"/>
  <c r="O498" i="1"/>
  <c r="J498" i="1"/>
  <c r="I498" i="1"/>
  <c r="J497" i="1"/>
  <c r="I497" i="1"/>
  <c r="M497" i="1" s="1"/>
  <c r="J496" i="1"/>
  <c r="I496" i="1"/>
  <c r="J495" i="1"/>
  <c r="I495" i="1"/>
  <c r="O495" i="1" s="1"/>
  <c r="P495" i="1" s="1"/>
  <c r="J494" i="1"/>
  <c r="I494" i="1"/>
  <c r="M494" i="1" s="1"/>
  <c r="J493" i="1"/>
  <c r="I493" i="1"/>
  <c r="J492" i="1"/>
  <c r="I492" i="1"/>
  <c r="J491" i="1"/>
  <c r="I491" i="1"/>
  <c r="J490" i="1"/>
  <c r="I490" i="1"/>
  <c r="J489" i="1"/>
  <c r="I489" i="1"/>
  <c r="J488" i="1"/>
  <c r="I488" i="1"/>
  <c r="M488" i="1" s="1"/>
  <c r="J487" i="1"/>
  <c r="I487" i="1"/>
  <c r="O487" i="1" s="1"/>
  <c r="P487" i="1" s="1"/>
  <c r="J486" i="1"/>
  <c r="I486" i="1"/>
  <c r="O486" i="1" s="1"/>
  <c r="J485" i="1"/>
  <c r="I485" i="1"/>
  <c r="M485" i="1" s="1"/>
  <c r="J484" i="1"/>
  <c r="I484" i="1"/>
  <c r="J483" i="1"/>
  <c r="I483" i="1"/>
  <c r="O483" i="1" s="1"/>
  <c r="P483" i="1" s="1"/>
  <c r="J482" i="1"/>
  <c r="I482" i="1"/>
  <c r="O482" i="1" s="1"/>
  <c r="J481" i="1"/>
  <c r="I481" i="1"/>
  <c r="J480" i="1"/>
  <c r="I480" i="1"/>
  <c r="J479" i="1"/>
  <c r="I479" i="1"/>
  <c r="M479" i="1" s="1"/>
  <c r="J478" i="1"/>
  <c r="I478" i="1"/>
  <c r="J477" i="1"/>
  <c r="I477" i="1"/>
  <c r="J476" i="1"/>
  <c r="I476" i="1"/>
  <c r="J475" i="1"/>
  <c r="I475" i="1"/>
  <c r="O475" i="1" s="1"/>
  <c r="P475" i="1" s="1"/>
  <c r="J474" i="1"/>
  <c r="I474" i="1"/>
  <c r="J473" i="1"/>
  <c r="I473" i="1"/>
  <c r="J472" i="1"/>
  <c r="I472" i="1"/>
  <c r="J471" i="1"/>
  <c r="I471" i="1"/>
  <c r="O471" i="1" s="1"/>
  <c r="P471" i="1" s="1"/>
  <c r="J470" i="1"/>
  <c r="I470" i="1"/>
  <c r="J469" i="1"/>
  <c r="I469" i="1"/>
  <c r="M469" i="1" s="1"/>
  <c r="N469" i="1" s="1"/>
  <c r="J468" i="1"/>
  <c r="I468" i="1"/>
  <c r="J467" i="1"/>
  <c r="I467" i="1"/>
  <c r="J466" i="1"/>
  <c r="I466" i="1"/>
  <c r="J465" i="1"/>
  <c r="I465" i="1"/>
  <c r="J464" i="1"/>
  <c r="I464" i="1"/>
  <c r="M464" i="1" s="1"/>
  <c r="N464" i="1" s="1"/>
  <c r="J463" i="1"/>
  <c r="I463" i="1"/>
  <c r="J462" i="1"/>
  <c r="I462" i="1"/>
  <c r="O462" i="1" s="1"/>
  <c r="J461" i="1"/>
  <c r="I461" i="1"/>
  <c r="O461" i="1" s="1"/>
  <c r="J460" i="1"/>
  <c r="I460" i="1"/>
  <c r="O460" i="1" s="1"/>
  <c r="J459" i="1"/>
  <c r="I459" i="1"/>
  <c r="J458" i="1"/>
  <c r="I458" i="1"/>
  <c r="M457" i="1"/>
  <c r="J457" i="1"/>
  <c r="I457" i="1"/>
  <c r="O457" i="1" s="1"/>
  <c r="J456" i="1"/>
  <c r="I456" i="1"/>
  <c r="J455" i="1"/>
  <c r="I455" i="1"/>
  <c r="M455" i="1" s="1"/>
  <c r="J454" i="1"/>
  <c r="I454" i="1"/>
  <c r="M454" i="1" s="1"/>
  <c r="J453" i="1"/>
  <c r="I453" i="1"/>
  <c r="J452" i="1"/>
  <c r="I452" i="1"/>
  <c r="M452" i="1" s="1"/>
  <c r="J451" i="1"/>
  <c r="I451" i="1"/>
  <c r="O451" i="1" s="1"/>
  <c r="P451" i="1" s="1"/>
  <c r="J450" i="1"/>
  <c r="I450" i="1"/>
  <c r="O450" i="1" s="1"/>
  <c r="P450" i="1" s="1"/>
  <c r="J449" i="1"/>
  <c r="I449" i="1"/>
  <c r="O449" i="1" s="1"/>
  <c r="P449" i="1" s="1"/>
  <c r="J448" i="1"/>
  <c r="K448" i="1" s="1"/>
  <c r="I448" i="1"/>
  <c r="O448" i="1" s="1"/>
  <c r="J447" i="1"/>
  <c r="I447" i="1"/>
  <c r="O447" i="1" s="1"/>
  <c r="P447" i="1" s="1"/>
  <c r="J446" i="1"/>
  <c r="I446" i="1"/>
  <c r="M446" i="1" s="1"/>
  <c r="J445" i="1"/>
  <c r="I445" i="1"/>
  <c r="O445" i="1" s="1"/>
  <c r="J444" i="1"/>
  <c r="I444" i="1"/>
  <c r="M444" i="1" s="1"/>
  <c r="J443" i="1"/>
  <c r="I443" i="1"/>
  <c r="M443" i="1" s="1"/>
  <c r="J442" i="1"/>
  <c r="I442" i="1"/>
  <c r="M442" i="1" s="1"/>
  <c r="J441" i="1"/>
  <c r="I441" i="1"/>
  <c r="J440" i="1"/>
  <c r="I440" i="1"/>
  <c r="M440" i="1" s="1"/>
  <c r="J439" i="1"/>
  <c r="I439" i="1"/>
  <c r="J438" i="1"/>
  <c r="I438" i="1"/>
  <c r="O438" i="1" s="1"/>
  <c r="J437" i="1"/>
  <c r="I437" i="1"/>
  <c r="O437" i="1" s="1"/>
  <c r="J436" i="1"/>
  <c r="I436" i="1"/>
  <c r="O436" i="1" s="1"/>
  <c r="J435" i="1"/>
  <c r="I435" i="1"/>
  <c r="J434" i="1"/>
  <c r="I434" i="1"/>
  <c r="O434" i="1" s="1"/>
  <c r="J433" i="1"/>
  <c r="I433" i="1"/>
  <c r="J432" i="1"/>
  <c r="I432" i="1"/>
  <c r="M432" i="1" s="1"/>
  <c r="N432" i="1" s="1"/>
  <c r="J431" i="1"/>
  <c r="I431" i="1"/>
  <c r="M431" i="1" s="1"/>
  <c r="J430" i="1"/>
  <c r="I430" i="1"/>
  <c r="M430" i="1" s="1"/>
  <c r="J429" i="1"/>
  <c r="I429" i="1"/>
  <c r="J428" i="1"/>
  <c r="K428" i="1" s="1"/>
  <c r="I428" i="1"/>
  <c r="M428" i="1" s="1"/>
  <c r="J427" i="1"/>
  <c r="I427" i="1"/>
  <c r="J426" i="1"/>
  <c r="I426" i="1"/>
  <c r="J425" i="1"/>
  <c r="I425" i="1"/>
  <c r="O425" i="1" s="1"/>
  <c r="P425" i="1" s="1"/>
  <c r="J424" i="1"/>
  <c r="I424" i="1"/>
  <c r="O424" i="1" s="1"/>
  <c r="J423" i="1"/>
  <c r="I423" i="1"/>
  <c r="O423" i="1" s="1"/>
  <c r="J422" i="1"/>
  <c r="I422" i="1"/>
  <c r="M422" i="1" s="1"/>
  <c r="N422" i="1" s="1"/>
  <c r="J421" i="1"/>
  <c r="I421" i="1"/>
  <c r="O421" i="1" s="1"/>
  <c r="J420" i="1"/>
  <c r="I420" i="1"/>
  <c r="J419" i="1"/>
  <c r="I419" i="1"/>
  <c r="J418" i="1"/>
  <c r="I418" i="1"/>
  <c r="M418" i="1" s="1"/>
  <c r="J417" i="1"/>
  <c r="I417" i="1"/>
  <c r="M417" i="1" s="1"/>
  <c r="J416" i="1"/>
  <c r="I416" i="1"/>
  <c r="M416" i="1" s="1"/>
  <c r="J415" i="1"/>
  <c r="I415" i="1"/>
  <c r="J414" i="1"/>
  <c r="I414" i="1"/>
  <c r="O414" i="1" s="1"/>
  <c r="P414" i="1" s="1"/>
  <c r="J413" i="1"/>
  <c r="I413" i="1"/>
  <c r="O413" i="1" s="1"/>
  <c r="P413" i="1" s="1"/>
  <c r="J412" i="1"/>
  <c r="I412" i="1"/>
  <c r="J411" i="1"/>
  <c r="I411" i="1"/>
  <c r="O411" i="1" s="1"/>
  <c r="P411" i="1" s="1"/>
  <c r="J410" i="1"/>
  <c r="I410" i="1"/>
  <c r="O410" i="1" s="1"/>
  <c r="P410" i="1" s="1"/>
  <c r="J409" i="1"/>
  <c r="I409" i="1"/>
  <c r="J408" i="1"/>
  <c r="I408" i="1"/>
  <c r="J407" i="1"/>
  <c r="I407" i="1"/>
  <c r="M407" i="1" s="1"/>
  <c r="J406" i="1"/>
  <c r="I406" i="1"/>
  <c r="M406" i="1" s="1"/>
  <c r="J405" i="1"/>
  <c r="I405" i="1"/>
  <c r="O405" i="1" s="1"/>
  <c r="J404" i="1"/>
  <c r="I404" i="1"/>
  <c r="M404" i="1" s="1"/>
  <c r="J403" i="1"/>
  <c r="I403" i="1"/>
  <c r="M403" i="1" s="1"/>
  <c r="J402" i="1"/>
  <c r="I402" i="1"/>
  <c r="J401" i="1"/>
  <c r="I401" i="1"/>
  <c r="O401" i="1" s="1"/>
  <c r="P401" i="1" s="1"/>
  <c r="J400" i="1"/>
  <c r="I400" i="1"/>
  <c r="J399" i="1"/>
  <c r="I399" i="1"/>
  <c r="O399" i="1" s="1"/>
  <c r="J398" i="1"/>
  <c r="I398" i="1"/>
  <c r="J397" i="1"/>
  <c r="I397" i="1"/>
  <c r="O397" i="1" s="1"/>
  <c r="J396" i="1"/>
  <c r="I396" i="1"/>
  <c r="M396" i="1" s="1"/>
  <c r="J395" i="1"/>
  <c r="I395" i="1"/>
  <c r="O395" i="1" s="1"/>
  <c r="P395" i="1" s="1"/>
  <c r="J394" i="1"/>
  <c r="I394" i="1"/>
  <c r="M394" i="1" s="1"/>
  <c r="J393" i="1"/>
  <c r="I393" i="1"/>
  <c r="M393" i="1" s="1"/>
  <c r="J392" i="1"/>
  <c r="I392" i="1"/>
  <c r="O392" i="1" s="1"/>
  <c r="J391" i="1"/>
  <c r="I391" i="1"/>
  <c r="J390" i="1"/>
  <c r="I390" i="1"/>
  <c r="K390" i="1" s="1"/>
  <c r="J389" i="1"/>
  <c r="I389" i="1"/>
  <c r="J388" i="1"/>
  <c r="I388" i="1"/>
  <c r="M388" i="1" s="1"/>
  <c r="J387" i="1"/>
  <c r="I387" i="1"/>
  <c r="J386" i="1"/>
  <c r="I386" i="1"/>
  <c r="M386" i="1" s="1"/>
  <c r="N386" i="1" s="1"/>
  <c r="J385" i="1"/>
  <c r="I385" i="1"/>
  <c r="M385" i="1" s="1"/>
  <c r="J384" i="1"/>
  <c r="I384" i="1"/>
  <c r="O384" i="1" s="1"/>
  <c r="P384" i="1" s="1"/>
  <c r="O383" i="1"/>
  <c r="P383" i="1" s="1"/>
  <c r="J383" i="1"/>
  <c r="I383" i="1"/>
  <c r="M383" i="1" s="1"/>
  <c r="J382" i="1"/>
  <c r="I382" i="1"/>
  <c r="M382" i="1" s="1"/>
  <c r="J381" i="1"/>
  <c r="I381" i="1"/>
  <c r="M381" i="1" s="1"/>
  <c r="J380" i="1"/>
  <c r="I380" i="1"/>
  <c r="O380" i="1" s="1"/>
  <c r="J379" i="1"/>
  <c r="I379" i="1"/>
  <c r="M379" i="1" s="1"/>
  <c r="N379" i="1" s="1"/>
  <c r="J378" i="1"/>
  <c r="I378" i="1"/>
  <c r="O378" i="1" s="1"/>
  <c r="P378" i="1" s="1"/>
  <c r="J377" i="1"/>
  <c r="I377" i="1"/>
  <c r="J376" i="1"/>
  <c r="I376" i="1"/>
  <c r="M376" i="1" s="1"/>
  <c r="J375" i="1"/>
  <c r="I375" i="1"/>
  <c r="O375" i="1" s="1"/>
  <c r="P375" i="1" s="1"/>
  <c r="J374" i="1"/>
  <c r="I374" i="1"/>
  <c r="J373" i="1"/>
  <c r="I373" i="1"/>
  <c r="J372" i="1"/>
  <c r="I372" i="1"/>
  <c r="J371" i="1"/>
  <c r="I371" i="1"/>
  <c r="J370" i="1"/>
  <c r="I370" i="1"/>
  <c r="M370" i="1" s="1"/>
  <c r="J369" i="1"/>
  <c r="I369" i="1"/>
  <c r="J368" i="1"/>
  <c r="I368" i="1"/>
  <c r="O368" i="1" s="1"/>
  <c r="J367" i="1"/>
  <c r="I367" i="1"/>
  <c r="J366" i="1"/>
  <c r="I366" i="1"/>
  <c r="O366" i="1" s="1"/>
  <c r="J365" i="1"/>
  <c r="I365" i="1"/>
  <c r="J364" i="1"/>
  <c r="I364" i="1"/>
  <c r="J363" i="1"/>
  <c r="I363" i="1"/>
  <c r="J362" i="1"/>
  <c r="I362" i="1"/>
  <c r="M362" i="1" s="1"/>
  <c r="N362" i="1" s="1"/>
  <c r="J361" i="1"/>
  <c r="I361" i="1"/>
  <c r="J360" i="1"/>
  <c r="I360" i="1"/>
  <c r="O359" i="1"/>
  <c r="J359" i="1"/>
  <c r="I359" i="1"/>
  <c r="M359" i="1" s="1"/>
  <c r="J358" i="1"/>
  <c r="I358" i="1"/>
  <c r="M358" i="1" s="1"/>
  <c r="J357" i="1"/>
  <c r="I357" i="1"/>
  <c r="O357" i="1" s="1"/>
  <c r="P357" i="1" s="1"/>
  <c r="J356" i="1"/>
  <c r="I356" i="1"/>
  <c r="O356" i="1" s="1"/>
  <c r="P356" i="1" s="1"/>
  <c r="J355" i="1"/>
  <c r="I355" i="1"/>
  <c r="J354" i="1"/>
  <c r="I354" i="1"/>
  <c r="J353" i="1"/>
  <c r="I353" i="1"/>
  <c r="O353" i="1" s="1"/>
  <c r="P353" i="1" s="1"/>
  <c r="J352" i="1"/>
  <c r="I352" i="1"/>
  <c r="J351" i="1"/>
  <c r="I351" i="1"/>
  <c r="J350" i="1"/>
  <c r="I350" i="1"/>
  <c r="M350" i="1" s="1"/>
  <c r="J349" i="1"/>
  <c r="I349" i="1"/>
  <c r="O349" i="1" s="1"/>
  <c r="P349" i="1" s="1"/>
  <c r="J348" i="1"/>
  <c r="I348" i="1"/>
  <c r="M348" i="1" s="1"/>
  <c r="J347" i="1"/>
  <c r="I347" i="1"/>
  <c r="M347" i="1" s="1"/>
  <c r="J346" i="1"/>
  <c r="I346" i="1"/>
  <c r="M346" i="1" s="1"/>
  <c r="J345" i="1"/>
  <c r="I345" i="1"/>
  <c r="O345" i="1" s="1"/>
  <c r="P345" i="1" s="1"/>
  <c r="J344" i="1"/>
  <c r="I344" i="1"/>
  <c r="J343" i="1"/>
  <c r="I343" i="1"/>
  <c r="J342" i="1"/>
  <c r="I342" i="1"/>
  <c r="O342" i="1" s="1"/>
  <c r="J341" i="1"/>
  <c r="I341" i="1"/>
  <c r="O341" i="1" s="1"/>
  <c r="P341" i="1" s="1"/>
  <c r="J340" i="1"/>
  <c r="I340" i="1"/>
  <c r="J339" i="1"/>
  <c r="I339" i="1"/>
  <c r="M338" i="1"/>
  <c r="J338" i="1"/>
  <c r="K338" i="1" s="1"/>
  <c r="I338" i="1"/>
  <c r="J337" i="1"/>
  <c r="I337" i="1"/>
  <c r="O337" i="1" s="1"/>
  <c r="P337" i="1" s="1"/>
  <c r="J336" i="1"/>
  <c r="I336" i="1"/>
  <c r="J335" i="1"/>
  <c r="I335" i="1"/>
  <c r="M335" i="1" s="1"/>
  <c r="J334" i="1"/>
  <c r="I334" i="1"/>
  <c r="M334" i="1" s="1"/>
  <c r="J333" i="1"/>
  <c r="I333" i="1"/>
  <c r="O333" i="1" s="1"/>
  <c r="P333" i="1" s="1"/>
  <c r="J332" i="1"/>
  <c r="I332" i="1"/>
  <c r="O332" i="1" s="1"/>
  <c r="P332" i="1" s="1"/>
  <c r="J331" i="1"/>
  <c r="I331" i="1"/>
  <c r="J330" i="1"/>
  <c r="I330" i="1"/>
  <c r="O330" i="1" s="1"/>
  <c r="J329" i="1"/>
  <c r="I329" i="1"/>
  <c r="O329" i="1" s="1"/>
  <c r="P329" i="1" s="1"/>
  <c r="J328" i="1"/>
  <c r="I328" i="1"/>
  <c r="M328" i="1" s="1"/>
  <c r="J327" i="1"/>
  <c r="I327" i="1"/>
  <c r="J326" i="1"/>
  <c r="I326" i="1"/>
  <c r="M326" i="1" s="1"/>
  <c r="J325" i="1"/>
  <c r="I325" i="1"/>
  <c r="O325" i="1" s="1"/>
  <c r="P325" i="1" s="1"/>
  <c r="J324" i="1"/>
  <c r="I324" i="1"/>
  <c r="M324" i="1" s="1"/>
  <c r="J323" i="1"/>
  <c r="I323" i="1"/>
  <c r="M323" i="1" s="1"/>
  <c r="J322" i="1"/>
  <c r="I322" i="1"/>
  <c r="M322" i="1" s="1"/>
  <c r="J321" i="1"/>
  <c r="I321" i="1"/>
  <c r="O321" i="1" s="1"/>
  <c r="P321" i="1" s="1"/>
  <c r="J320" i="1"/>
  <c r="I320" i="1"/>
  <c r="O320" i="1" s="1"/>
  <c r="P320" i="1" s="1"/>
  <c r="J319" i="1"/>
  <c r="I319" i="1"/>
  <c r="J318" i="1"/>
  <c r="I318" i="1"/>
  <c r="J317" i="1"/>
  <c r="I317" i="1"/>
  <c r="O317" i="1" s="1"/>
  <c r="P317" i="1" s="1"/>
  <c r="J316" i="1"/>
  <c r="I316" i="1"/>
  <c r="J315" i="1"/>
  <c r="I315" i="1"/>
  <c r="J314" i="1"/>
  <c r="I314" i="1"/>
  <c r="J313" i="1"/>
  <c r="I313" i="1"/>
  <c r="O313" i="1" s="1"/>
  <c r="P313" i="1" s="1"/>
  <c r="J312" i="1"/>
  <c r="I312" i="1"/>
  <c r="J311" i="1"/>
  <c r="I311" i="1"/>
  <c r="M311" i="1" s="1"/>
  <c r="J310" i="1"/>
  <c r="I310" i="1"/>
  <c r="M310" i="1" s="1"/>
  <c r="J309" i="1"/>
  <c r="I309" i="1"/>
  <c r="O309" i="1" s="1"/>
  <c r="P309" i="1" s="1"/>
  <c r="J308" i="1"/>
  <c r="I308" i="1"/>
  <c r="J307" i="1"/>
  <c r="I307" i="1"/>
  <c r="J306" i="1"/>
  <c r="I306" i="1"/>
  <c r="J305" i="1"/>
  <c r="I305" i="1"/>
  <c r="J304" i="1"/>
  <c r="I304" i="1"/>
  <c r="M304" i="1" s="1"/>
  <c r="J303" i="1"/>
  <c r="I303" i="1"/>
  <c r="J302" i="1"/>
  <c r="I302" i="1"/>
  <c r="M302" i="1" s="1"/>
  <c r="J301" i="1"/>
  <c r="I301" i="1"/>
  <c r="J300" i="1"/>
  <c r="I300" i="1"/>
  <c r="M300" i="1" s="1"/>
  <c r="J299" i="1"/>
  <c r="I299" i="1"/>
  <c r="J298" i="1"/>
  <c r="I298" i="1"/>
  <c r="M298" i="1" s="1"/>
  <c r="J297" i="1"/>
  <c r="I297" i="1"/>
  <c r="O297" i="1" s="1"/>
  <c r="P297" i="1" s="1"/>
  <c r="J296" i="1"/>
  <c r="I296" i="1"/>
  <c r="J295" i="1"/>
  <c r="I295" i="1"/>
  <c r="J294" i="1"/>
  <c r="I294" i="1"/>
  <c r="O294" i="1" s="1"/>
  <c r="J293" i="1"/>
  <c r="I293" i="1"/>
  <c r="O293" i="1" s="1"/>
  <c r="J292" i="1"/>
  <c r="I292" i="1"/>
  <c r="J291" i="1"/>
  <c r="I291" i="1"/>
  <c r="J290" i="1"/>
  <c r="I290" i="1"/>
  <c r="M290" i="1" s="1"/>
  <c r="J289" i="1"/>
  <c r="I289" i="1"/>
  <c r="J288" i="1"/>
  <c r="I288" i="1"/>
  <c r="M288" i="1" s="1"/>
  <c r="J287" i="1"/>
  <c r="I287" i="1"/>
  <c r="O287" i="1" s="1"/>
  <c r="J286" i="1"/>
  <c r="I286" i="1"/>
  <c r="M286" i="1" s="1"/>
  <c r="J285" i="1"/>
  <c r="I285" i="1"/>
  <c r="J284" i="1"/>
  <c r="I284" i="1"/>
  <c r="O284" i="1" s="1"/>
  <c r="P284" i="1" s="1"/>
  <c r="J283" i="1"/>
  <c r="I283" i="1"/>
  <c r="J282" i="1"/>
  <c r="I282" i="1"/>
  <c r="J281" i="1"/>
  <c r="I281" i="1"/>
  <c r="J280" i="1"/>
  <c r="K280" i="1" s="1"/>
  <c r="I280" i="1"/>
  <c r="M280" i="1" s="1"/>
  <c r="J279" i="1"/>
  <c r="I279" i="1"/>
  <c r="J278" i="1"/>
  <c r="I278" i="1"/>
  <c r="J277" i="1"/>
  <c r="I277" i="1"/>
  <c r="O277" i="1" s="1"/>
  <c r="P277" i="1" s="1"/>
  <c r="J276" i="1"/>
  <c r="I276" i="1"/>
  <c r="M276" i="1" s="1"/>
  <c r="N276" i="1" s="1"/>
  <c r="J275" i="1"/>
  <c r="I275" i="1"/>
  <c r="J274" i="1"/>
  <c r="I274" i="1"/>
  <c r="P273" i="1"/>
  <c r="M273" i="1"/>
  <c r="J273" i="1"/>
  <c r="K273" i="1" s="1"/>
  <c r="I273" i="1"/>
  <c r="O273" i="1" s="1"/>
  <c r="J272" i="1"/>
  <c r="I272" i="1"/>
  <c r="J271" i="1"/>
  <c r="I271" i="1"/>
  <c r="J270" i="1"/>
  <c r="I270" i="1"/>
  <c r="J269" i="1"/>
  <c r="I269" i="1"/>
  <c r="J268" i="1"/>
  <c r="I268" i="1"/>
  <c r="M268" i="1" s="1"/>
  <c r="J267" i="1"/>
  <c r="I267" i="1"/>
  <c r="J266" i="1"/>
  <c r="I266" i="1"/>
  <c r="M266" i="1" s="1"/>
  <c r="J265" i="1"/>
  <c r="I265" i="1"/>
  <c r="J264" i="1"/>
  <c r="I264" i="1"/>
  <c r="M264" i="1" s="1"/>
  <c r="J263" i="1"/>
  <c r="I263" i="1"/>
  <c r="J262" i="1"/>
  <c r="I262" i="1"/>
  <c r="M262" i="1" s="1"/>
  <c r="J261" i="1"/>
  <c r="I261" i="1"/>
  <c r="J260" i="1"/>
  <c r="I260" i="1"/>
  <c r="O260" i="1" s="1"/>
  <c r="P260" i="1" s="1"/>
  <c r="J259" i="1"/>
  <c r="I259" i="1"/>
  <c r="J258" i="1"/>
  <c r="I258" i="1"/>
  <c r="J257" i="1"/>
  <c r="I257" i="1"/>
  <c r="J256" i="1"/>
  <c r="I256" i="1"/>
  <c r="M256" i="1" s="1"/>
  <c r="J255" i="1"/>
  <c r="I255" i="1"/>
  <c r="M255" i="1" s="1"/>
  <c r="N255" i="1" s="1"/>
  <c r="J254" i="1"/>
  <c r="I254" i="1"/>
  <c r="J253" i="1"/>
  <c r="I253" i="1"/>
  <c r="J252" i="1"/>
  <c r="I252" i="1"/>
  <c r="J251" i="1"/>
  <c r="I251" i="1"/>
  <c r="O251" i="1" s="1"/>
  <c r="J250" i="1"/>
  <c r="I250" i="1"/>
  <c r="O250" i="1" s="1"/>
  <c r="J249" i="1"/>
  <c r="I249" i="1"/>
  <c r="O249" i="1" s="1"/>
  <c r="J248" i="1"/>
  <c r="I248" i="1"/>
  <c r="O248" i="1" s="1"/>
  <c r="P248" i="1" s="1"/>
  <c r="J247" i="1"/>
  <c r="I247" i="1"/>
  <c r="O247" i="1" s="1"/>
  <c r="J246" i="1"/>
  <c r="I246" i="1"/>
  <c r="J245" i="1"/>
  <c r="I245" i="1"/>
  <c r="M245" i="1" s="1"/>
  <c r="J244" i="1"/>
  <c r="I244" i="1"/>
  <c r="M244" i="1" s="1"/>
  <c r="J243" i="1"/>
  <c r="I243" i="1"/>
  <c r="J242" i="1"/>
  <c r="I242" i="1"/>
  <c r="M242" i="1" s="1"/>
  <c r="J241" i="1"/>
  <c r="I241" i="1"/>
  <c r="O241" i="1" s="1"/>
  <c r="P241" i="1" s="1"/>
  <c r="J240" i="1"/>
  <c r="I240" i="1"/>
  <c r="J239" i="1"/>
  <c r="I239" i="1"/>
  <c r="O239" i="1" s="1"/>
  <c r="J238" i="1"/>
  <c r="I238" i="1"/>
  <c r="J237" i="1"/>
  <c r="I237" i="1"/>
  <c r="J236" i="1"/>
  <c r="I236" i="1"/>
  <c r="J235" i="1"/>
  <c r="I235" i="1"/>
  <c r="J234" i="1"/>
  <c r="I234" i="1"/>
  <c r="J233" i="1"/>
  <c r="I233" i="1"/>
  <c r="M233" i="1" s="1"/>
  <c r="J232" i="1"/>
  <c r="I232" i="1"/>
  <c r="M232" i="1" s="1"/>
  <c r="J231" i="1"/>
  <c r="I231" i="1"/>
  <c r="J230" i="1"/>
  <c r="I230" i="1"/>
  <c r="M230" i="1" s="1"/>
  <c r="J229" i="1"/>
  <c r="I229" i="1"/>
  <c r="O229" i="1" s="1"/>
  <c r="P229" i="1" s="1"/>
  <c r="J228" i="1"/>
  <c r="I228" i="1"/>
  <c r="J227" i="1"/>
  <c r="I227" i="1"/>
  <c r="O227" i="1" s="1"/>
  <c r="P227" i="1" s="1"/>
  <c r="J226" i="1"/>
  <c r="I226" i="1"/>
  <c r="O226" i="1" s="1"/>
  <c r="J225" i="1"/>
  <c r="I225" i="1"/>
  <c r="O225" i="1" s="1"/>
  <c r="P225" i="1" s="1"/>
  <c r="J224" i="1"/>
  <c r="I224" i="1"/>
  <c r="O224" i="1" s="1"/>
  <c r="P224" i="1" s="1"/>
  <c r="J223" i="1"/>
  <c r="I223" i="1"/>
  <c r="J222" i="1"/>
  <c r="I222" i="1"/>
  <c r="J221" i="1"/>
  <c r="I221" i="1"/>
  <c r="M221" i="1" s="1"/>
  <c r="N221" i="1" s="1"/>
  <c r="J220" i="1"/>
  <c r="I220" i="1"/>
  <c r="M220" i="1" s="1"/>
  <c r="J219" i="1"/>
  <c r="I219" i="1"/>
  <c r="O219" i="1" s="1"/>
  <c r="J218" i="1"/>
  <c r="I218" i="1"/>
  <c r="M218" i="1" s="1"/>
  <c r="N218" i="1" s="1"/>
  <c r="J217" i="1"/>
  <c r="I217" i="1"/>
  <c r="J216" i="1"/>
  <c r="I216" i="1"/>
  <c r="O216" i="1" s="1"/>
  <c r="P216" i="1" s="1"/>
  <c r="J215" i="1"/>
  <c r="I215" i="1"/>
  <c r="J214" i="1"/>
  <c r="I214" i="1"/>
  <c r="J213" i="1"/>
  <c r="I213" i="1"/>
  <c r="O213" i="1" s="1"/>
  <c r="J212" i="1"/>
  <c r="I212" i="1"/>
  <c r="O212" i="1" s="1"/>
  <c r="P212" i="1" s="1"/>
  <c r="J211" i="1"/>
  <c r="I211" i="1"/>
  <c r="M211" i="1" s="1"/>
  <c r="N211" i="1" s="1"/>
  <c r="J210" i="1"/>
  <c r="I210" i="1"/>
  <c r="J209" i="1"/>
  <c r="I209" i="1"/>
  <c r="J208" i="1"/>
  <c r="I208" i="1"/>
  <c r="J207" i="1"/>
  <c r="I207" i="1"/>
  <c r="O207" i="1" s="1"/>
  <c r="J206" i="1"/>
  <c r="I206" i="1"/>
  <c r="M206" i="1" s="1"/>
  <c r="J205" i="1"/>
  <c r="I205" i="1"/>
  <c r="O205" i="1" s="1"/>
  <c r="P205" i="1" s="1"/>
  <c r="J204" i="1"/>
  <c r="I204" i="1"/>
  <c r="J203" i="1"/>
  <c r="I203" i="1"/>
  <c r="O203" i="1" s="1"/>
  <c r="J202" i="1"/>
  <c r="I202" i="1"/>
  <c r="J201" i="1"/>
  <c r="I201" i="1"/>
  <c r="O201" i="1" s="1"/>
  <c r="J200" i="1"/>
  <c r="I200" i="1"/>
  <c r="O200" i="1" s="1"/>
  <c r="P200" i="1" s="1"/>
  <c r="J199" i="1"/>
  <c r="I199" i="1"/>
  <c r="O199" i="1" s="1"/>
  <c r="J198" i="1"/>
  <c r="I198" i="1"/>
  <c r="J197" i="1"/>
  <c r="I197" i="1"/>
  <c r="M197" i="1" s="1"/>
  <c r="J196" i="1"/>
  <c r="I196" i="1"/>
  <c r="J195" i="1"/>
  <c r="I195" i="1"/>
  <c r="O195" i="1" s="1"/>
  <c r="J194" i="1"/>
  <c r="I194" i="1"/>
  <c r="J193" i="1"/>
  <c r="I193" i="1"/>
  <c r="O193" i="1" s="1"/>
  <c r="P193" i="1" s="1"/>
  <c r="J192" i="1"/>
  <c r="I192" i="1"/>
  <c r="J191" i="1"/>
  <c r="I191" i="1"/>
  <c r="J190" i="1"/>
  <c r="I190" i="1"/>
  <c r="J189" i="1"/>
  <c r="I189" i="1"/>
  <c r="J188" i="1"/>
  <c r="I188" i="1"/>
  <c r="O188" i="1" s="1"/>
  <c r="P188" i="1" s="1"/>
  <c r="M187" i="1"/>
  <c r="J187" i="1"/>
  <c r="K187" i="1" s="1"/>
  <c r="I187" i="1"/>
  <c r="O187" i="1" s="1"/>
  <c r="J186" i="1"/>
  <c r="I186" i="1"/>
  <c r="K185" i="1"/>
  <c r="J185" i="1"/>
  <c r="I185" i="1"/>
  <c r="M185" i="1" s="1"/>
  <c r="J184" i="1"/>
  <c r="I184" i="1"/>
  <c r="M184" i="1" s="1"/>
  <c r="J183" i="1"/>
  <c r="I183" i="1"/>
  <c r="O183" i="1" s="1"/>
  <c r="J182" i="1"/>
  <c r="I182" i="1"/>
  <c r="M182" i="1" s="1"/>
  <c r="J181" i="1"/>
  <c r="I181" i="1"/>
  <c r="M180" i="1"/>
  <c r="J180" i="1"/>
  <c r="I180" i="1"/>
  <c r="J179" i="1"/>
  <c r="I179" i="1"/>
  <c r="J178" i="1"/>
  <c r="I178" i="1"/>
  <c r="M178" i="1" s="1"/>
  <c r="J177" i="1"/>
  <c r="I177" i="1"/>
  <c r="O177" i="1" s="1"/>
  <c r="J176" i="1"/>
  <c r="I176" i="1"/>
  <c r="O176" i="1" s="1"/>
  <c r="P176" i="1" s="1"/>
  <c r="J175" i="1"/>
  <c r="I175" i="1"/>
  <c r="J174" i="1"/>
  <c r="I174" i="1"/>
  <c r="J173" i="1"/>
  <c r="I173" i="1"/>
  <c r="M173" i="1" s="1"/>
  <c r="N173" i="1" s="1"/>
  <c r="J172" i="1"/>
  <c r="I172" i="1"/>
  <c r="M172" i="1" s="1"/>
  <c r="J171" i="1"/>
  <c r="I171" i="1"/>
  <c r="O171" i="1" s="1"/>
  <c r="J170" i="1"/>
  <c r="I170" i="1"/>
  <c r="M170" i="1" s="1"/>
  <c r="J169" i="1"/>
  <c r="I169" i="1"/>
  <c r="J168" i="1"/>
  <c r="I168" i="1"/>
  <c r="O168" i="1" s="1"/>
  <c r="P168" i="1" s="1"/>
  <c r="J167" i="1"/>
  <c r="I167" i="1"/>
  <c r="J166" i="1"/>
  <c r="I166" i="1"/>
  <c r="O166" i="1" s="1"/>
  <c r="J165" i="1"/>
  <c r="I165" i="1"/>
  <c r="M165" i="1" s="1"/>
  <c r="J164" i="1"/>
  <c r="I164" i="1"/>
  <c r="M164" i="1" s="1"/>
  <c r="J163" i="1"/>
  <c r="I163" i="1"/>
  <c r="J162" i="1"/>
  <c r="I162" i="1"/>
  <c r="O162" i="1" s="1"/>
  <c r="P162" i="1" s="1"/>
  <c r="J161" i="1"/>
  <c r="I161" i="1"/>
  <c r="K161" i="1" s="1"/>
  <c r="J160" i="1"/>
  <c r="I160" i="1"/>
  <c r="J159" i="1"/>
  <c r="I159" i="1"/>
  <c r="K159" i="1" s="1"/>
  <c r="J158" i="1"/>
  <c r="I158" i="1"/>
  <c r="O158" i="1" s="1"/>
  <c r="J157" i="1"/>
  <c r="I157" i="1"/>
  <c r="J156" i="1"/>
  <c r="I156" i="1"/>
  <c r="J155" i="1"/>
  <c r="I155" i="1"/>
  <c r="M155" i="1" s="1"/>
  <c r="J154" i="1"/>
  <c r="I154" i="1"/>
  <c r="J153" i="1"/>
  <c r="I153" i="1"/>
  <c r="O153" i="1" s="1"/>
  <c r="J152" i="1"/>
  <c r="I152" i="1"/>
  <c r="O152" i="1" s="1"/>
  <c r="P152" i="1" s="1"/>
  <c r="J151" i="1"/>
  <c r="I151" i="1"/>
  <c r="J150" i="1"/>
  <c r="I150" i="1"/>
  <c r="O150" i="1" s="1"/>
  <c r="J149" i="1"/>
  <c r="I149" i="1"/>
  <c r="M148" i="1"/>
  <c r="J148" i="1"/>
  <c r="I148" i="1"/>
  <c r="O148" i="1" s="1"/>
  <c r="P148" i="1" s="1"/>
  <c r="J147" i="1"/>
  <c r="I147" i="1"/>
  <c r="M147" i="1" s="1"/>
  <c r="J146" i="1"/>
  <c r="I146" i="1"/>
  <c r="J145" i="1"/>
  <c r="I145" i="1"/>
  <c r="J144" i="1"/>
  <c r="I144" i="1"/>
  <c r="O144" i="1" s="1"/>
  <c r="P144" i="1" s="1"/>
  <c r="J143" i="1"/>
  <c r="I143" i="1"/>
  <c r="M143" i="1" s="1"/>
  <c r="J142" i="1"/>
  <c r="I142" i="1"/>
  <c r="J141" i="1"/>
  <c r="I141" i="1"/>
  <c r="O141" i="1" s="1"/>
  <c r="O140" i="1"/>
  <c r="P140" i="1" s="1"/>
  <c r="J140" i="1"/>
  <c r="I140" i="1"/>
  <c r="M140" i="1" s="1"/>
  <c r="J139" i="1"/>
  <c r="I139" i="1"/>
  <c r="M139" i="1" s="1"/>
  <c r="J138" i="1"/>
  <c r="I138" i="1"/>
  <c r="J137" i="1"/>
  <c r="I137" i="1"/>
  <c r="J136" i="1"/>
  <c r="I136" i="1"/>
  <c r="O136" i="1" s="1"/>
  <c r="J135" i="1"/>
  <c r="I135" i="1"/>
  <c r="J134" i="1"/>
  <c r="I134" i="1"/>
  <c r="M134" i="1" s="1"/>
  <c r="J133" i="1"/>
  <c r="I133" i="1"/>
  <c r="O133" i="1" s="1"/>
  <c r="P133" i="1" s="1"/>
  <c r="J132" i="1"/>
  <c r="I132" i="1"/>
  <c r="J131" i="1"/>
  <c r="I131" i="1"/>
  <c r="M131" i="1" s="1"/>
  <c r="J130" i="1"/>
  <c r="I130" i="1"/>
  <c r="K130" i="1" s="1"/>
  <c r="J129" i="1"/>
  <c r="I129" i="1"/>
  <c r="O129" i="1" s="1"/>
  <c r="J128" i="1"/>
  <c r="I128" i="1"/>
  <c r="M128" i="1" s="1"/>
  <c r="J127" i="1"/>
  <c r="I127" i="1"/>
  <c r="M127" i="1" s="1"/>
  <c r="J126" i="1"/>
  <c r="I126" i="1"/>
  <c r="J125" i="1"/>
  <c r="I125" i="1"/>
  <c r="J124" i="1"/>
  <c r="I124" i="1"/>
  <c r="O124" i="1" s="1"/>
  <c r="P124" i="1" s="1"/>
  <c r="J123" i="1"/>
  <c r="I123" i="1"/>
  <c r="J122" i="1"/>
  <c r="I122" i="1"/>
  <c r="O122" i="1" s="1"/>
  <c r="J121" i="1"/>
  <c r="I121" i="1"/>
  <c r="O121" i="1" s="1"/>
  <c r="P121" i="1" s="1"/>
  <c r="J120" i="1"/>
  <c r="I120" i="1"/>
  <c r="M120" i="1" s="1"/>
  <c r="J119" i="1"/>
  <c r="I119" i="1"/>
  <c r="M119" i="1" s="1"/>
  <c r="J118" i="1"/>
  <c r="I118" i="1"/>
  <c r="M118" i="1" s="1"/>
  <c r="N118" i="1" s="1"/>
  <c r="J117" i="1"/>
  <c r="I117" i="1"/>
  <c r="J116" i="1"/>
  <c r="I116" i="1"/>
  <c r="M116" i="1" s="1"/>
  <c r="J115" i="1"/>
  <c r="I115" i="1"/>
  <c r="J114" i="1"/>
  <c r="I114" i="1"/>
  <c r="K114" i="1" s="1"/>
  <c r="J113" i="1"/>
  <c r="I113" i="1"/>
  <c r="O113" i="1" s="1"/>
  <c r="J112" i="1"/>
  <c r="I112" i="1"/>
  <c r="J111" i="1"/>
  <c r="I111" i="1"/>
  <c r="M111" i="1" s="1"/>
  <c r="J110" i="1"/>
  <c r="I110" i="1"/>
  <c r="J109" i="1"/>
  <c r="I109" i="1"/>
  <c r="O109" i="1" s="1"/>
  <c r="P109" i="1" s="1"/>
  <c r="J108" i="1"/>
  <c r="I108" i="1"/>
  <c r="J107" i="1"/>
  <c r="I107" i="1"/>
  <c r="O107" i="1" s="1"/>
  <c r="P107" i="1" s="1"/>
  <c r="J106" i="1"/>
  <c r="I106" i="1"/>
  <c r="K106" i="1" s="1"/>
  <c r="J105" i="1"/>
  <c r="I105" i="1"/>
  <c r="J104" i="1"/>
  <c r="I104" i="1"/>
  <c r="M104" i="1" s="1"/>
  <c r="J103" i="1"/>
  <c r="I103" i="1"/>
  <c r="O103" i="1" s="1"/>
  <c r="J102" i="1"/>
  <c r="I102" i="1"/>
  <c r="J101" i="1"/>
  <c r="I101" i="1"/>
  <c r="J100" i="1"/>
  <c r="I100" i="1"/>
  <c r="O100" i="1" s="1"/>
  <c r="J99" i="1"/>
  <c r="I99" i="1"/>
  <c r="M99" i="1" s="1"/>
  <c r="J98" i="1"/>
  <c r="I98" i="1"/>
  <c r="J97" i="1"/>
  <c r="I97" i="1"/>
  <c r="J96" i="1"/>
  <c r="I96" i="1"/>
  <c r="O96" i="1" s="1"/>
  <c r="P96" i="1" s="1"/>
  <c r="J95" i="1"/>
  <c r="I95" i="1"/>
  <c r="M95" i="1" s="1"/>
  <c r="J94" i="1"/>
  <c r="I94" i="1"/>
  <c r="J93" i="1"/>
  <c r="I93" i="1"/>
  <c r="O93" i="1" s="1"/>
  <c r="P93" i="1" s="1"/>
  <c r="J92" i="1"/>
  <c r="I92" i="1"/>
  <c r="M92" i="1" s="1"/>
  <c r="N92" i="1" s="1"/>
  <c r="J91" i="1"/>
  <c r="I91" i="1"/>
  <c r="O91" i="1" s="1"/>
  <c r="J90" i="1"/>
  <c r="I90" i="1"/>
  <c r="J89" i="1"/>
  <c r="I89" i="1"/>
  <c r="J88" i="1"/>
  <c r="I88" i="1"/>
  <c r="O88" i="1" s="1"/>
  <c r="J87" i="1"/>
  <c r="I87" i="1"/>
  <c r="J86" i="1"/>
  <c r="I86" i="1"/>
  <c r="J85" i="1"/>
  <c r="I85" i="1"/>
  <c r="O85" i="1" s="1"/>
  <c r="P85" i="1" s="1"/>
  <c r="J84" i="1"/>
  <c r="I84" i="1"/>
  <c r="O84" i="1" s="1"/>
  <c r="P84" i="1" s="1"/>
  <c r="J83" i="1"/>
  <c r="I83" i="1"/>
  <c r="O83" i="1" s="1"/>
  <c r="P83" i="1" s="1"/>
  <c r="J82" i="1"/>
  <c r="I82" i="1"/>
  <c r="O81" i="1"/>
  <c r="P81" i="1" s="1"/>
  <c r="M81" i="1"/>
  <c r="J81" i="1"/>
  <c r="I81" i="1"/>
  <c r="J80" i="1"/>
  <c r="I80" i="1"/>
  <c r="M80" i="1" s="1"/>
  <c r="N80" i="1" s="1"/>
  <c r="J79" i="1"/>
  <c r="I79" i="1"/>
  <c r="J78" i="1"/>
  <c r="I78" i="1"/>
  <c r="O77" i="1"/>
  <c r="J77" i="1"/>
  <c r="I77" i="1"/>
  <c r="M77" i="1" s="1"/>
  <c r="N77" i="1" s="1"/>
  <c r="J76" i="1"/>
  <c r="I76" i="1"/>
  <c r="J75" i="1"/>
  <c r="I75" i="1"/>
  <c r="M75" i="1" s="1"/>
  <c r="J74" i="1"/>
  <c r="I74" i="1"/>
  <c r="J73" i="1"/>
  <c r="I73" i="1"/>
  <c r="O73" i="1" s="1"/>
  <c r="P73" i="1" s="1"/>
  <c r="J72" i="1"/>
  <c r="I72" i="1"/>
  <c r="J71" i="1"/>
  <c r="I71" i="1"/>
  <c r="O71" i="1" s="1"/>
  <c r="P71" i="1" s="1"/>
  <c r="J70" i="1"/>
  <c r="I70" i="1"/>
  <c r="M70" i="1" s="1"/>
  <c r="J69" i="1"/>
  <c r="I69" i="1"/>
  <c r="M69" i="1" s="1"/>
  <c r="J68" i="1"/>
  <c r="I68" i="1"/>
  <c r="J67" i="1"/>
  <c r="I67" i="1"/>
  <c r="J66" i="1"/>
  <c r="I66" i="1"/>
  <c r="J65" i="1"/>
  <c r="I65" i="1"/>
  <c r="J64" i="1"/>
  <c r="I64" i="1"/>
  <c r="O64" i="1" s="1"/>
  <c r="J63" i="1"/>
  <c r="I63" i="1"/>
  <c r="M63" i="1" s="1"/>
  <c r="J62" i="1"/>
  <c r="I62" i="1"/>
  <c r="J61" i="1"/>
  <c r="I61" i="1"/>
  <c r="O61" i="1" s="1"/>
  <c r="P61" i="1" s="1"/>
  <c r="J60" i="1"/>
  <c r="I60" i="1"/>
  <c r="O60" i="1" s="1"/>
  <c r="P60" i="1" s="1"/>
  <c r="O59" i="1"/>
  <c r="P59" i="1" s="1"/>
  <c r="J59" i="1"/>
  <c r="I59" i="1"/>
  <c r="M59" i="1" s="1"/>
  <c r="J58" i="1"/>
  <c r="I58" i="1"/>
  <c r="M58" i="1" s="1"/>
  <c r="N58" i="1" s="1"/>
  <c r="J57" i="1"/>
  <c r="I57" i="1"/>
  <c r="O57" i="1" s="1"/>
  <c r="P57" i="1" s="1"/>
  <c r="J56" i="1"/>
  <c r="I56" i="1"/>
  <c r="J55" i="1"/>
  <c r="I55" i="1"/>
  <c r="J54" i="1"/>
  <c r="I54" i="1"/>
  <c r="J53" i="1"/>
  <c r="I53" i="1"/>
  <c r="M53" i="1" s="1"/>
  <c r="J52" i="1"/>
  <c r="I52" i="1"/>
  <c r="K52" i="1" s="1"/>
  <c r="J51" i="1"/>
  <c r="I51" i="1"/>
  <c r="M51" i="1" s="1"/>
  <c r="J50" i="1"/>
  <c r="I50" i="1"/>
  <c r="J49" i="1"/>
  <c r="I49" i="1"/>
  <c r="J48" i="1"/>
  <c r="I48" i="1"/>
  <c r="O48" i="1" s="1"/>
  <c r="P48" i="1" s="1"/>
  <c r="J47" i="1"/>
  <c r="I47" i="1"/>
  <c r="O47" i="1" s="1"/>
  <c r="P47" i="1" s="1"/>
  <c r="J46" i="1"/>
  <c r="I46" i="1"/>
  <c r="J45" i="1"/>
  <c r="I45" i="1"/>
  <c r="J44" i="1"/>
  <c r="I44" i="1"/>
  <c r="J43" i="1"/>
  <c r="I43" i="1"/>
  <c r="J42" i="1"/>
  <c r="I42" i="1"/>
  <c r="J41" i="1"/>
  <c r="I41" i="1"/>
  <c r="O41" i="1" s="1"/>
  <c r="J40" i="1"/>
  <c r="I40" i="1"/>
  <c r="O40" i="1" s="1"/>
  <c r="J39" i="1"/>
  <c r="I39" i="1"/>
  <c r="J38" i="1"/>
  <c r="I38" i="1"/>
  <c r="J37" i="1"/>
  <c r="I37" i="1"/>
  <c r="J36" i="1"/>
  <c r="I36" i="1"/>
  <c r="O36" i="1" s="1"/>
  <c r="P36" i="1" s="1"/>
  <c r="J35" i="1"/>
  <c r="I35" i="1"/>
  <c r="O35" i="1" s="1"/>
  <c r="P35" i="1" s="1"/>
  <c r="J34" i="1"/>
  <c r="I34" i="1"/>
  <c r="J33" i="1"/>
  <c r="I33" i="1"/>
  <c r="O33" i="1" s="1"/>
  <c r="P33" i="1" s="1"/>
  <c r="O32" i="1"/>
  <c r="P32" i="1" s="1"/>
  <c r="J32" i="1"/>
  <c r="I32" i="1"/>
  <c r="M32" i="1" s="1"/>
  <c r="J31" i="1"/>
  <c r="I31" i="1"/>
  <c r="J30" i="1"/>
  <c r="I30" i="1"/>
  <c r="K30" i="1" s="1"/>
  <c r="J29" i="1"/>
  <c r="I29" i="1"/>
  <c r="O29" i="1" s="1"/>
  <c r="J28" i="1"/>
  <c r="I28" i="1"/>
  <c r="O28" i="1" s="1"/>
  <c r="J27" i="1"/>
  <c r="I27" i="1"/>
  <c r="M27" i="1" s="1"/>
  <c r="N27" i="1" s="1"/>
  <c r="J26" i="1"/>
  <c r="I26" i="1"/>
  <c r="J25" i="1"/>
  <c r="I25" i="1"/>
  <c r="J24" i="1"/>
  <c r="I24" i="1"/>
  <c r="O24" i="1" s="1"/>
  <c r="P24" i="1" s="1"/>
  <c r="J23" i="1"/>
  <c r="I23" i="1"/>
  <c r="O23" i="1" s="1"/>
  <c r="P23" i="1" s="1"/>
  <c r="J22" i="1"/>
  <c r="I22" i="1"/>
  <c r="J21" i="1"/>
  <c r="I21" i="1"/>
  <c r="O21" i="1" s="1"/>
  <c r="J20" i="1"/>
  <c r="I20" i="1"/>
  <c r="J19" i="1"/>
  <c r="I19" i="1"/>
  <c r="J18" i="1"/>
  <c r="I18" i="1"/>
  <c r="J17" i="1"/>
  <c r="I17" i="1"/>
  <c r="O17" i="1" s="1"/>
  <c r="J16" i="1"/>
  <c r="I16" i="1"/>
  <c r="O16" i="1" s="1"/>
  <c r="J15" i="1"/>
  <c r="I15" i="1"/>
  <c r="M15" i="1" s="1"/>
  <c r="J14" i="1"/>
  <c r="I14" i="1"/>
  <c r="J13" i="1"/>
  <c r="I13" i="1"/>
  <c r="O13" i="1" s="1"/>
  <c r="P13" i="1" s="1"/>
  <c r="J12" i="1"/>
  <c r="I12" i="1"/>
  <c r="O12" i="1" s="1"/>
  <c r="P12" i="1" s="1"/>
  <c r="J11" i="1"/>
  <c r="I11" i="1"/>
  <c r="O11" i="1" s="1"/>
  <c r="P11" i="1" s="1"/>
  <c r="J10" i="1"/>
  <c r="I10" i="1"/>
  <c r="J9" i="1"/>
  <c r="I9" i="1"/>
  <c r="M9" i="1" s="1"/>
  <c r="J8" i="1"/>
  <c r="I8" i="1"/>
  <c r="M8" i="1" s="1"/>
  <c r="J7" i="1"/>
  <c r="I7" i="1"/>
  <c r="J6" i="1"/>
  <c r="I6" i="1"/>
  <c r="J5" i="1"/>
  <c r="I5" i="1"/>
  <c r="M5" i="1" s="1"/>
  <c r="J4" i="1"/>
  <c r="I4" i="1"/>
  <c r="J3" i="1"/>
  <c r="I3" i="1"/>
  <c r="M3" i="1" s="1"/>
  <c r="J2" i="1"/>
  <c r="I2" i="1"/>
  <c r="N273" i="1" l="1"/>
  <c r="K381" i="1"/>
  <c r="K512" i="1"/>
  <c r="K562" i="1"/>
  <c r="K579" i="1"/>
  <c r="O618" i="1"/>
  <c r="N646" i="1"/>
  <c r="M927" i="1"/>
  <c r="K233" i="1"/>
  <c r="K313" i="1"/>
  <c r="K364" i="1"/>
  <c r="N370" i="1"/>
  <c r="M421" i="1"/>
  <c r="O455" i="1"/>
  <c r="K613" i="1"/>
  <c r="K798" i="1"/>
  <c r="N804" i="1"/>
  <c r="N816" i="1"/>
  <c r="N895" i="1"/>
  <c r="N912" i="1"/>
  <c r="O923" i="1"/>
  <c r="P923" i="1" s="1"/>
  <c r="K83" i="1"/>
  <c r="K246" i="1"/>
  <c r="M313" i="1"/>
  <c r="K365" i="1"/>
  <c r="N393" i="1"/>
  <c r="O602" i="1"/>
  <c r="P602" i="1" s="1"/>
  <c r="K614" i="1"/>
  <c r="K659" i="1"/>
  <c r="K680" i="1"/>
  <c r="K686" i="1"/>
  <c r="M691" i="1"/>
  <c r="K782" i="1"/>
  <c r="K787" i="1"/>
  <c r="O798" i="1"/>
  <c r="P798" i="1" s="1"/>
  <c r="N875" i="1"/>
  <c r="K78" i="1"/>
  <c r="O718" i="1"/>
  <c r="P718" i="1" s="1"/>
  <c r="M787" i="1"/>
  <c r="N913" i="1"/>
  <c r="M48" i="1"/>
  <c r="O53" i="1"/>
  <c r="K96" i="1"/>
  <c r="K102" i="1"/>
  <c r="O280" i="1"/>
  <c r="P280" i="1" s="1"/>
  <c r="K292" i="1"/>
  <c r="M297" i="1"/>
  <c r="N297" i="1" s="1"/>
  <c r="M411" i="1"/>
  <c r="K427" i="1"/>
  <c r="K508" i="1"/>
  <c r="K519" i="1"/>
  <c r="K553" i="1"/>
  <c r="O586" i="1"/>
  <c r="P586" i="1" s="1"/>
  <c r="M631" i="1"/>
  <c r="M675" i="1"/>
  <c r="K852" i="1"/>
  <c r="K887" i="1"/>
  <c r="O891" i="1"/>
  <c r="P891" i="1" s="1"/>
  <c r="K927" i="1"/>
  <c r="K48" i="1"/>
  <c r="N172" i="1"/>
  <c r="O211" i="1"/>
  <c r="N310" i="1"/>
  <c r="N326" i="1"/>
  <c r="O388" i="1"/>
  <c r="O422" i="1"/>
  <c r="N452" i="1"/>
  <c r="N520" i="1"/>
  <c r="K587" i="1"/>
  <c r="P675" i="1"/>
  <c r="K703" i="1"/>
  <c r="K714" i="1"/>
  <c r="O754" i="1"/>
  <c r="P754" i="1" s="1"/>
  <c r="K766" i="1"/>
  <c r="M887" i="1"/>
  <c r="K471" i="1"/>
  <c r="O703" i="1"/>
  <c r="P703" i="1" s="1"/>
  <c r="N266" i="1"/>
  <c r="K321" i="1"/>
  <c r="K350" i="1"/>
  <c r="K77" i="1"/>
  <c r="M150" i="1"/>
  <c r="N150" i="1" s="1"/>
  <c r="M321" i="1"/>
  <c r="N321" i="1" s="1"/>
  <c r="O379" i="1"/>
  <c r="P379" i="1" s="1"/>
  <c r="O638" i="1"/>
  <c r="O726" i="1"/>
  <c r="K819" i="1"/>
  <c r="M888" i="1"/>
  <c r="K959" i="1"/>
  <c r="K556" i="1"/>
  <c r="K22" i="1"/>
  <c r="K56" i="1"/>
  <c r="K72" i="1"/>
  <c r="K82" i="1"/>
  <c r="K123" i="1"/>
  <c r="O311" i="1"/>
  <c r="N322" i="1"/>
  <c r="N334" i="1"/>
  <c r="N454" i="1"/>
  <c r="M544" i="1"/>
  <c r="N544" i="1" s="1"/>
  <c r="K566" i="1"/>
  <c r="N639" i="1"/>
  <c r="K751" i="1"/>
  <c r="N802" i="1"/>
  <c r="N889" i="1"/>
  <c r="O959" i="1"/>
  <c r="P959" i="1" s="1"/>
  <c r="K200" i="1"/>
  <c r="K205" i="1"/>
  <c r="K249" i="1"/>
  <c r="K344" i="1"/>
  <c r="K370" i="1"/>
  <c r="K375" i="1"/>
  <c r="K595" i="1"/>
  <c r="K637" i="1"/>
  <c r="K907" i="1"/>
  <c r="K912" i="1"/>
  <c r="N924" i="1"/>
  <c r="K955" i="1"/>
  <c r="M249" i="1"/>
  <c r="M349" i="1"/>
  <c r="M384" i="1"/>
  <c r="N384" i="1" s="1"/>
  <c r="K475" i="1"/>
  <c r="O502" i="1"/>
  <c r="P502" i="1" s="1"/>
  <c r="K518" i="1"/>
  <c r="K529" i="1"/>
  <c r="O595" i="1"/>
  <c r="P595" i="1" s="1"/>
  <c r="K601" i="1"/>
  <c r="K722" i="1"/>
  <c r="O749" i="1"/>
  <c r="P749" i="1" s="1"/>
  <c r="M831" i="1"/>
  <c r="K843" i="1"/>
  <c r="O879" i="1"/>
  <c r="P879" i="1" s="1"/>
  <c r="K903" i="1"/>
  <c r="M907" i="1"/>
  <c r="N907" i="1" s="1"/>
  <c r="M955" i="1"/>
  <c r="K125" i="1"/>
  <c r="K141" i="1"/>
  <c r="O63" i="1"/>
  <c r="M141" i="1"/>
  <c r="M166" i="1"/>
  <c r="M200" i="1"/>
  <c r="N200" i="1" s="1"/>
  <c r="M205" i="1"/>
  <c r="N205" i="1" s="1"/>
  <c r="K293" i="1"/>
  <c r="K325" i="1"/>
  <c r="K6" i="1"/>
  <c r="M33" i="1"/>
  <c r="K59" i="1"/>
  <c r="K88" i="1"/>
  <c r="P141" i="1"/>
  <c r="M171" i="1"/>
  <c r="M176" i="1"/>
  <c r="P195" i="1"/>
  <c r="K211" i="1"/>
  <c r="N245" i="1"/>
  <c r="P249" i="1"/>
  <c r="K277" i="1"/>
  <c r="P293" i="1"/>
  <c r="M325" i="1"/>
  <c r="K345" i="1"/>
  <c r="O370" i="1"/>
  <c r="P370" i="1" s="1"/>
  <c r="K422" i="1"/>
  <c r="M475" i="1"/>
  <c r="N475" i="1" s="1"/>
  <c r="M518" i="1"/>
  <c r="P544" i="1"/>
  <c r="N596" i="1"/>
  <c r="O606" i="1"/>
  <c r="M657" i="1"/>
  <c r="O702" i="1"/>
  <c r="K708" i="1"/>
  <c r="O722" i="1"/>
  <c r="P722" i="1" s="1"/>
  <c r="K786" i="1"/>
  <c r="K803" i="1"/>
  <c r="N809" i="1"/>
  <c r="M843" i="1"/>
  <c r="M848" i="1"/>
  <c r="N848" i="1" s="1"/>
  <c r="N864" i="1"/>
  <c r="K875" i="1"/>
  <c r="M903" i="1"/>
  <c r="K960" i="1"/>
  <c r="P171" i="1"/>
  <c r="M277" i="1"/>
  <c r="N277" i="1" s="1"/>
  <c r="O288" i="1"/>
  <c r="P288" i="1" s="1"/>
  <c r="K294" i="1"/>
  <c r="O335" i="1"/>
  <c r="M345" i="1"/>
  <c r="N345" i="1" s="1"/>
  <c r="K439" i="1"/>
  <c r="N607" i="1"/>
  <c r="N714" i="1"/>
  <c r="O803" i="1"/>
  <c r="P803" i="1" s="1"/>
  <c r="O875" i="1"/>
  <c r="P875" i="1" s="1"/>
  <c r="M940" i="1"/>
  <c r="N403" i="1"/>
  <c r="N504" i="1"/>
  <c r="N536" i="1"/>
  <c r="N634" i="1"/>
  <c r="K971" i="1"/>
  <c r="P976" i="1"/>
  <c r="K24" i="1"/>
  <c r="K153" i="1"/>
  <c r="K316" i="1"/>
  <c r="O766" i="1"/>
  <c r="P766" i="1" s="1"/>
  <c r="N787" i="1"/>
  <c r="K13" i="1"/>
  <c r="K84" i="1"/>
  <c r="M153" i="1"/>
  <c r="M229" i="1"/>
  <c r="N229" i="1" s="1"/>
  <c r="K362" i="1"/>
  <c r="K378" i="1"/>
  <c r="N382" i="1"/>
  <c r="K387" i="1"/>
  <c r="O403" i="1"/>
  <c r="P403" i="1" s="1"/>
  <c r="K420" i="1"/>
  <c r="K434" i="1"/>
  <c r="K440" i="1"/>
  <c r="M566" i="1"/>
  <c r="M582" i="1"/>
  <c r="N582" i="1" s="1"/>
  <c r="K592" i="1"/>
  <c r="K619" i="1"/>
  <c r="K625" i="1"/>
  <c r="O634" i="1"/>
  <c r="K649" i="1"/>
  <c r="K678" i="1"/>
  <c r="N794" i="1"/>
  <c r="K860" i="1"/>
  <c r="N877" i="1"/>
  <c r="M904" i="1"/>
  <c r="M24" i="1"/>
  <c r="M332" i="1"/>
  <c r="P368" i="1"/>
  <c r="O382" i="1"/>
  <c r="M630" i="1"/>
  <c r="N630" i="1" s="1"/>
  <c r="O649" i="1"/>
  <c r="O654" i="1"/>
  <c r="M860" i="1"/>
  <c r="N860" i="1" s="1"/>
  <c r="K972" i="1"/>
  <c r="N70" i="1"/>
  <c r="O75" i="1"/>
  <c r="P75" i="1" s="1"/>
  <c r="K164" i="1"/>
  <c r="K188" i="1"/>
  <c r="K290" i="1"/>
  <c r="K337" i="1"/>
  <c r="M41" i="1"/>
  <c r="N41" i="1" s="1"/>
  <c r="M71" i="1"/>
  <c r="O95" i="1"/>
  <c r="P95" i="1" s="1"/>
  <c r="N140" i="1"/>
  <c r="O159" i="1"/>
  <c r="P159" i="1" s="1"/>
  <c r="O164" i="1"/>
  <c r="P164" i="1" s="1"/>
  <c r="M188" i="1"/>
  <c r="N188" i="1" s="1"/>
  <c r="K193" i="1"/>
  <c r="N264" i="1"/>
  <c r="M337" i="1"/>
  <c r="O347" i="1"/>
  <c r="K363" i="1"/>
  <c r="N383" i="1"/>
  <c r="N553" i="1"/>
  <c r="K679" i="1"/>
  <c r="K690" i="1"/>
  <c r="O730" i="1"/>
  <c r="P730" i="1" s="1"/>
  <c r="K763" i="1"/>
  <c r="K963" i="1"/>
  <c r="N973" i="1"/>
  <c r="M13" i="1"/>
  <c r="N15" i="1"/>
  <c r="M36" i="1"/>
  <c r="O52" i="1"/>
  <c r="N119" i="1"/>
  <c r="M193" i="1"/>
  <c r="N193" i="1" s="1"/>
  <c r="N302" i="1"/>
  <c r="K308" i="1"/>
  <c r="O323" i="1"/>
  <c r="N348" i="1"/>
  <c r="M410" i="1"/>
  <c r="N442" i="1"/>
  <c r="K452" i="1"/>
  <c r="M495" i="1"/>
  <c r="K528" i="1"/>
  <c r="M640" i="1"/>
  <c r="M679" i="1"/>
  <c r="N679" i="1" s="1"/>
  <c r="N726" i="1"/>
  <c r="N731" i="1"/>
  <c r="M758" i="1"/>
  <c r="M763" i="1"/>
  <c r="O773" i="1"/>
  <c r="K896" i="1"/>
  <c r="N923" i="1"/>
  <c r="N959" i="1"/>
  <c r="M963" i="1"/>
  <c r="K968" i="1"/>
  <c r="N979" i="1"/>
  <c r="K65" i="1"/>
  <c r="K122" i="1"/>
  <c r="M84" i="1"/>
  <c r="O111" i="1"/>
  <c r="M122" i="1"/>
  <c r="K10" i="1"/>
  <c r="N170" i="1"/>
  <c r="K210" i="1"/>
  <c r="K400" i="1"/>
  <c r="N416" i="1"/>
  <c r="N479" i="1"/>
  <c r="N512" i="1"/>
  <c r="K558" i="1"/>
  <c r="P758" i="1"/>
  <c r="N780" i="1"/>
  <c r="N819" i="1"/>
  <c r="N847" i="1"/>
  <c r="K888" i="1"/>
  <c r="N944" i="1"/>
  <c r="N974" i="1"/>
  <c r="O611" i="1"/>
  <c r="P611" i="1" s="1"/>
  <c r="K611" i="1"/>
  <c r="O884" i="1"/>
  <c r="P884" i="1" s="1"/>
  <c r="K884" i="1"/>
  <c r="K16" i="1"/>
  <c r="K61" i="1"/>
  <c r="K66" i="1"/>
  <c r="M96" i="1"/>
  <c r="N128" i="1"/>
  <c r="N155" i="1"/>
  <c r="N206" i="1"/>
  <c r="K216" i="1"/>
  <c r="K225" i="1"/>
  <c r="N230" i="1"/>
  <c r="K236" i="1"/>
  <c r="O236" i="1"/>
  <c r="P236" i="1" s="1"/>
  <c r="M236" i="1"/>
  <c r="N236" i="1" s="1"/>
  <c r="N268" i="1"/>
  <c r="K304" i="1"/>
  <c r="M314" i="1"/>
  <c r="N314" i="1" s="1"/>
  <c r="K314" i="1"/>
  <c r="K328" i="1"/>
  <c r="N337" i="1"/>
  <c r="N350" i="1"/>
  <c r="K356" i="1"/>
  <c r="K361" i="1"/>
  <c r="K394" i="1"/>
  <c r="N440" i="1"/>
  <c r="O775" i="1"/>
  <c r="P775" i="1" s="1"/>
  <c r="M775" i="1"/>
  <c r="N775" i="1" s="1"/>
  <c r="M93" i="1"/>
  <c r="N93" i="1" s="1"/>
  <c r="M107" i="1"/>
  <c r="N107" i="1" s="1"/>
  <c r="K183" i="1"/>
  <c r="N187" i="1"/>
  <c r="M225" i="1"/>
  <c r="N225" i="1" s="1"/>
  <c r="O328" i="1"/>
  <c r="P328" i="1" s="1"/>
  <c r="M356" i="1"/>
  <c r="O394" i="1"/>
  <c r="O415" i="1"/>
  <c r="P415" i="1" s="1"/>
  <c r="M415" i="1"/>
  <c r="N415" i="1" s="1"/>
  <c r="K415" i="1"/>
  <c r="O681" i="1"/>
  <c r="P681" i="1" s="1"/>
  <c r="M681" i="1"/>
  <c r="M61" i="1"/>
  <c r="N61" i="1" s="1"/>
  <c r="N71" i="1"/>
  <c r="K165" i="1"/>
  <c r="M183" i="1"/>
  <c r="N183" i="1" s="1"/>
  <c r="N242" i="1"/>
  <c r="K258" i="1"/>
  <c r="K320" i="1"/>
  <c r="K351" i="1"/>
  <c r="N410" i="1"/>
  <c r="K441" i="1"/>
  <c r="M441" i="1"/>
  <c r="N441" i="1" s="1"/>
  <c r="M500" i="1"/>
  <c r="N500" i="1" s="1"/>
  <c r="K500" i="1"/>
  <c r="K25" i="1"/>
  <c r="K133" i="1"/>
  <c r="O217" i="1"/>
  <c r="P217" i="1" s="1"/>
  <c r="M217" i="1"/>
  <c r="N217" i="1" s="1"/>
  <c r="K217" i="1"/>
  <c r="M253" i="1"/>
  <c r="N253" i="1" s="1"/>
  <c r="O253" i="1"/>
  <c r="P253" i="1" s="1"/>
  <c r="K306" i="1"/>
  <c r="O306" i="1"/>
  <c r="M320" i="1"/>
  <c r="N320" i="1" s="1"/>
  <c r="M352" i="1"/>
  <c r="O352" i="1"/>
  <c r="P352" i="1" s="1"/>
  <c r="N381" i="1"/>
  <c r="K17" i="1"/>
  <c r="O3" i="1"/>
  <c r="P3" i="1" s="1"/>
  <c r="O8" i="1"/>
  <c r="P8" i="1" s="1"/>
  <c r="M17" i="1"/>
  <c r="N17" i="1" s="1"/>
  <c r="K40" i="1"/>
  <c r="K54" i="1"/>
  <c r="N63" i="1"/>
  <c r="K68" i="1"/>
  <c r="K113" i="1"/>
  <c r="M129" i="1"/>
  <c r="M133" i="1"/>
  <c r="N133" i="1" s="1"/>
  <c r="K170" i="1"/>
  <c r="K198" i="1"/>
  <c r="O238" i="1"/>
  <c r="P238" i="1" s="1"/>
  <c r="M238" i="1"/>
  <c r="N238" i="1" s="1"/>
  <c r="K285" i="1"/>
  <c r="O300" i="1"/>
  <c r="P300" i="1" s="1"/>
  <c r="M316" i="1"/>
  <c r="N316" i="1" s="1"/>
  <c r="O316" i="1"/>
  <c r="P316" i="1" s="1"/>
  <c r="K330" i="1"/>
  <c r="N338" i="1"/>
  <c r="O344" i="1"/>
  <c r="P344" i="1" s="1"/>
  <c r="M344" i="1"/>
  <c r="N344" i="1" s="1"/>
  <c r="N358" i="1"/>
  <c r="O381" i="1"/>
  <c r="P381" i="1" s="1"/>
  <c r="O390" i="1"/>
  <c r="P390" i="1" s="1"/>
  <c r="N495" i="1"/>
  <c r="O546" i="1"/>
  <c r="P546" i="1" s="1"/>
  <c r="M546" i="1"/>
  <c r="N546" i="1" s="1"/>
  <c r="O855" i="1"/>
  <c r="P855" i="1" s="1"/>
  <c r="M855" i="1"/>
  <c r="N855" i="1" s="1"/>
  <c r="N48" i="1"/>
  <c r="M22" i="1"/>
  <c r="N22" i="1" s="1"/>
  <c r="O264" i="1"/>
  <c r="P264" i="1" s="1"/>
  <c r="M296" i="1"/>
  <c r="N296" i="1" s="1"/>
  <c r="O296" i="1"/>
  <c r="P296" i="1" s="1"/>
  <c r="K301" i="1"/>
  <c r="O301" i="1"/>
  <c r="P301" i="1" s="1"/>
  <c r="M301" i="1"/>
  <c r="N301" i="1" s="1"/>
  <c r="K391" i="1"/>
  <c r="O391" i="1"/>
  <c r="P391" i="1" s="1"/>
  <c r="M391" i="1"/>
  <c r="N391" i="1" s="1"/>
  <c r="K658" i="1"/>
  <c r="N658" i="1"/>
  <c r="O746" i="1"/>
  <c r="P746" i="1" s="1"/>
  <c r="M746" i="1"/>
  <c r="K746" i="1"/>
  <c r="M29" i="1"/>
  <c r="N29" i="1" s="1"/>
  <c r="M12" i="1"/>
  <c r="N12" i="1" s="1"/>
  <c r="M35" i="1"/>
  <c r="N35" i="1" s="1"/>
  <c r="K18" i="1"/>
  <c r="O22" i="1"/>
  <c r="P22" i="1" s="1"/>
  <c r="K46" i="1"/>
  <c r="N51" i="1"/>
  <c r="N81" i="1"/>
  <c r="K95" i="1"/>
  <c r="K134" i="1"/>
  <c r="N143" i="1"/>
  <c r="N166" i="1"/>
  <c r="K176" i="1"/>
  <c r="N180" i="1"/>
  <c r="N185" i="1"/>
  <c r="O204" i="1"/>
  <c r="P204" i="1" s="1"/>
  <c r="M204" i="1"/>
  <c r="N204" i="1" s="1"/>
  <c r="N244" i="1"/>
  <c r="K339" i="1"/>
  <c r="O364" i="1"/>
  <c r="P364" i="1" s="1"/>
  <c r="M364" i="1"/>
  <c r="N364" i="1" s="1"/>
  <c r="M373" i="1"/>
  <c r="N373" i="1" s="1"/>
  <c r="K373" i="1"/>
  <c r="K402" i="1"/>
  <c r="N407" i="1"/>
  <c r="O463" i="1"/>
  <c r="P463" i="1" s="1"/>
  <c r="M463" i="1"/>
  <c r="N463" i="1" s="1"/>
  <c r="M491" i="1"/>
  <c r="N491" i="1" s="1"/>
  <c r="O491" i="1"/>
  <c r="P491" i="1" s="1"/>
  <c r="M598" i="1"/>
  <c r="O598" i="1"/>
  <c r="P598" i="1" s="1"/>
  <c r="O361" i="1"/>
  <c r="P361" i="1" s="1"/>
  <c r="M361" i="1"/>
  <c r="N361" i="1" s="1"/>
  <c r="M194" i="1"/>
  <c r="N194" i="1" s="1"/>
  <c r="K194" i="1"/>
  <c r="M340" i="1"/>
  <c r="O340" i="1"/>
  <c r="P340" i="1" s="1"/>
  <c r="K354" i="1"/>
  <c r="O354" i="1"/>
  <c r="M742" i="1"/>
  <c r="N742" i="1" s="1"/>
  <c r="O742" i="1"/>
  <c r="P742" i="1" s="1"/>
  <c r="N36" i="1"/>
  <c r="K73" i="1"/>
  <c r="K100" i="1"/>
  <c r="K140" i="1"/>
  <c r="K326" i="1"/>
  <c r="O459" i="1"/>
  <c r="P459" i="1" s="1"/>
  <c r="M459" i="1"/>
  <c r="N459" i="1" s="1"/>
  <c r="K459" i="1"/>
  <c r="M655" i="1"/>
  <c r="N655" i="1" s="1"/>
  <c r="K655" i="1"/>
  <c r="O867" i="1"/>
  <c r="P867" i="1" s="1"/>
  <c r="M867" i="1"/>
  <c r="K5" i="1"/>
  <c r="M23" i="1"/>
  <c r="N23" i="1" s="1"/>
  <c r="M73" i="1"/>
  <c r="N73" i="1" s="1"/>
  <c r="M224" i="1"/>
  <c r="K261" i="1"/>
  <c r="M308" i="1"/>
  <c r="N308" i="1" s="1"/>
  <c r="K318" i="1"/>
  <c r="O318" i="1"/>
  <c r="M427" i="1"/>
  <c r="N427" i="1" s="1"/>
  <c r="K23" i="1"/>
  <c r="K28" i="1"/>
  <c r="K131" i="1"/>
  <c r="M219" i="1"/>
  <c r="M10" i="1"/>
  <c r="N10" i="1" s="1"/>
  <c r="K42" i="1"/>
  <c r="M60" i="1"/>
  <c r="N60" i="1" s="1"/>
  <c r="O131" i="1"/>
  <c r="P131" i="1" s="1"/>
  <c r="M144" i="1"/>
  <c r="N144" i="1" s="1"/>
  <c r="K154" i="1"/>
  <c r="O210" i="1"/>
  <c r="P210" i="1" s="1"/>
  <c r="P219" i="1"/>
  <c r="N298" i="1"/>
  <c r="O308" i="1"/>
  <c r="P308" i="1" s="1"/>
  <c r="N313" i="1"/>
  <c r="O427" i="1"/>
  <c r="P427" i="1" s="1"/>
  <c r="O554" i="1"/>
  <c r="P554" i="1" s="1"/>
  <c r="M554" i="1"/>
  <c r="N554" i="1" s="1"/>
  <c r="K554" i="1"/>
  <c r="O836" i="1"/>
  <c r="P836" i="1" s="1"/>
  <c r="K836" i="1"/>
  <c r="K546" i="1"/>
  <c r="N638" i="1"/>
  <c r="N650" i="1"/>
  <c r="K668" i="1"/>
  <c r="N672" i="1"/>
  <c r="N691" i="1"/>
  <c r="K738" i="1"/>
  <c r="K742" i="1"/>
  <c r="K800" i="1"/>
  <c r="K810" i="1"/>
  <c r="N831" i="1"/>
  <c r="K855" i="1"/>
  <c r="K867" i="1"/>
  <c r="N892" i="1"/>
  <c r="K918" i="1"/>
  <c r="K932" i="1"/>
  <c r="N455" i="1"/>
  <c r="K463" i="1"/>
  <c r="K496" i="1"/>
  <c r="N619" i="1"/>
  <c r="K669" i="1"/>
  <c r="K715" i="1"/>
  <c r="K733" i="1"/>
  <c r="K816" i="1"/>
  <c r="K859" i="1"/>
  <c r="K876" i="1"/>
  <c r="N955" i="1"/>
  <c r="N986" i="1"/>
  <c r="N539" i="1"/>
  <c r="M543" i="1"/>
  <c r="N543" i="1" s="1"/>
  <c r="N551" i="1"/>
  <c r="O581" i="1"/>
  <c r="P581" i="1" s="1"/>
  <c r="N604" i="1"/>
  <c r="K607" i="1"/>
  <c r="N643" i="1"/>
  <c r="M647" i="1"/>
  <c r="N647" i="1" s="1"/>
  <c r="N697" i="1"/>
  <c r="M711" i="1"/>
  <c r="K720" i="1"/>
  <c r="K723" i="1"/>
  <c r="M751" i="1"/>
  <c r="N751" i="1" s="1"/>
  <c r="M859" i="1"/>
  <c r="N859" i="1" s="1"/>
  <c r="M863" i="1"/>
  <c r="N863" i="1" s="1"/>
  <c r="K872" i="1"/>
  <c r="M876" i="1"/>
  <c r="M880" i="1"/>
  <c r="K924" i="1"/>
  <c r="K942" i="1"/>
  <c r="M964" i="1"/>
  <c r="N964" i="1" s="1"/>
  <c r="K446" i="1"/>
  <c r="K487" i="1"/>
  <c r="P543" i="1"/>
  <c r="O607" i="1"/>
  <c r="O647" i="1"/>
  <c r="P647" i="1" s="1"/>
  <c r="M832" i="1"/>
  <c r="K851" i="1"/>
  <c r="P859" i="1"/>
  <c r="K906" i="1"/>
  <c r="K915" i="1"/>
  <c r="M947" i="1"/>
  <c r="N947" i="1" s="1"/>
  <c r="N182" i="1"/>
  <c r="N256" i="1"/>
  <c r="K340" i="1"/>
  <c r="K352" i="1"/>
  <c r="K483" i="1"/>
  <c r="M487" i="1"/>
  <c r="N487" i="1" s="1"/>
  <c r="K525" i="1"/>
  <c r="O539" i="1"/>
  <c r="K547" i="1"/>
  <c r="K552" i="1"/>
  <c r="N570" i="1"/>
  <c r="M578" i="1"/>
  <c r="N578" i="1" s="1"/>
  <c r="K590" i="1"/>
  <c r="N595" i="1"/>
  <c r="P599" i="1"/>
  <c r="O604" i="1"/>
  <c r="M612" i="1"/>
  <c r="N612" i="1" s="1"/>
  <c r="O643" i="1"/>
  <c r="K648" i="1"/>
  <c r="N703" i="1"/>
  <c r="K712" i="1"/>
  <c r="O715" i="1"/>
  <c r="P715" i="1" s="1"/>
  <c r="O720" i="1"/>
  <c r="K739" i="1"/>
  <c r="K781" i="1"/>
  <c r="K847" i="1"/>
  <c r="N852" i="1"/>
  <c r="K864" i="1"/>
  <c r="M915" i="1"/>
  <c r="M952" i="1"/>
  <c r="N952" i="1" s="1"/>
  <c r="O974" i="1"/>
  <c r="P974" i="1" s="1"/>
  <c r="K987" i="1"/>
  <c r="K222" i="1"/>
  <c r="O479" i="1"/>
  <c r="P479" i="1" s="1"/>
  <c r="M483" i="1"/>
  <c r="N483" i="1" s="1"/>
  <c r="O520" i="1"/>
  <c r="M547" i="1"/>
  <c r="M575" i="1"/>
  <c r="N575" i="1" s="1"/>
  <c r="O590" i="1"/>
  <c r="P590" i="1" s="1"/>
  <c r="O626" i="1"/>
  <c r="P626" i="1" s="1"/>
  <c r="P631" i="1"/>
  <c r="M656" i="1"/>
  <c r="N656" i="1" s="1"/>
  <c r="K674" i="1"/>
  <c r="O708" i="1"/>
  <c r="M712" i="1"/>
  <c r="K721" i="1"/>
  <c r="M724" i="1"/>
  <c r="N724" i="1" s="1"/>
  <c r="M739" i="1"/>
  <c r="N739" i="1" s="1"/>
  <c r="K748" i="1"/>
  <c r="K802" i="1"/>
  <c r="O807" i="1"/>
  <c r="P807" i="1" s="1"/>
  <c r="P812" i="1"/>
  <c r="N818" i="1"/>
  <c r="K822" i="1"/>
  <c r="O847" i="1"/>
  <c r="M856" i="1"/>
  <c r="N856" i="1" s="1"/>
  <c r="M868" i="1"/>
  <c r="N868" i="1" s="1"/>
  <c r="P907" i="1"/>
  <c r="K911" i="1"/>
  <c r="N232" i="1"/>
  <c r="N288" i="1"/>
  <c r="K332" i="1"/>
  <c r="K349" i="1"/>
  <c r="K406" i="1"/>
  <c r="K484" i="1"/>
  <c r="N521" i="1"/>
  <c r="O547" i="1"/>
  <c r="P547" i="1" s="1"/>
  <c r="P575" i="1"/>
  <c r="O712" i="1"/>
  <c r="P712" i="1" s="1"/>
  <c r="N803" i="1"/>
  <c r="N808" i="1"/>
  <c r="N829" i="1"/>
  <c r="K878" i="1"/>
  <c r="O911" i="1"/>
  <c r="P911" i="1" s="1"/>
  <c r="N925" i="1"/>
  <c r="N948" i="1"/>
  <c r="K966" i="1"/>
  <c r="N704" i="1"/>
  <c r="N749" i="1"/>
  <c r="N754" i="1"/>
  <c r="K768" i="1"/>
  <c r="K935" i="1"/>
  <c r="K944" i="1"/>
  <c r="O962" i="1"/>
  <c r="P962" i="1" s="1"/>
  <c r="M975" i="1"/>
  <c r="K979" i="1"/>
  <c r="M983" i="1"/>
  <c r="P583" i="1"/>
  <c r="N657" i="1"/>
  <c r="P710" i="1"/>
  <c r="N840" i="1"/>
  <c r="K900" i="1"/>
  <c r="M916" i="1"/>
  <c r="N916" i="1" s="1"/>
  <c r="M935" i="1"/>
  <c r="N935" i="1" s="1"/>
  <c r="O975" i="1"/>
  <c r="P975" i="1" s="1"/>
  <c r="O979" i="1"/>
  <c r="M434" i="1"/>
  <c r="N434" i="1" s="1"/>
  <c r="P448" i="1"/>
  <c r="M471" i="1"/>
  <c r="O494" i="1"/>
  <c r="P494" i="1" s="1"/>
  <c r="K799" i="1"/>
  <c r="N972" i="1"/>
  <c r="K980" i="1"/>
  <c r="N184" i="1"/>
  <c r="K224" i="1"/>
  <c r="K229" i="1"/>
  <c r="K234" i="1"/>
  <c r="K269" i="1"/>
  <c r="K303" i="1"/>
  <c r="N346" i="1"/>
  <c r="N376" i="1"/>
  <c r="K403" i="1"/>
  <c r="O499" i="1"/>
  <c r="P499" i="1" s="1"/>
  <c r="O553" i="1"/>
  <c r="K580" i="1"/>
  <c r="M583" i="1"/>
  <c r="N583" i="1" s="1"/>
  <c r="O610" i="1"/>
  <c r="P610" i="1" s="1"/>
  <c r="P638" i="1"/>
  <c r="P654" i="1"/>
  <c r="K676" i="1"/>
  <c r="K691" i="1"/>
  <c r="K696" i="1"/>
  <c r="M710" i="1"/>
  <c r="N710" i="1" s="1"/>
  <c r="K718" i="1"/>
  <c r="K745" i="1"/>
  <c r="K750" i="1"/>
  <c r="N755" i="1"/>
  <c r="K769" i="1"/>
  <c r="K774" i="1"/>
  <c r="M799" i="1"/>
  <c r="N799" i="1" s="1"/>
  <c r="O809" i="1"/>
  <c r="O819" i="1"/>
  <c r="K840" i="1"/>
  <c r="K879" i="1"/>
  <c r="M900" i="1"/>
  <c r="N900" i="1" s="1"/>
  <c r="K923" i="1"/>
  <c r="N940" i="1"/>
  <c r="K950" i="1"/>
  <c r="P955" i="1"/>
  <c r="O49" i="1"/>
  <c r="P49" i="1" s="1"/>
  <c r="M49" i="1"/>
  <c r="N49" i="1" s="1"/>
  <c r="K151" i="1"/>
  <c r="M151" i="1"/>
  <c r="N151" i="1" s="1"/>
  <c r="N3" i="1"/>
  <c r="O10" i="1"/>
  <c r="P10" i="1" s="1"/>
  <c r="N33" i="1"/>
  <c r="O37" i="1"/>
  <c r="P37" i="1" s="1"/>
  <c r="M37" i="1"/>
  <c r="N37" i="1" s="1"/>
  <c r="K49" i="1"/>
  <c r="N53" i="1"/>
  <c r="K58" i="1"/>
  <c r="O58" i="1"/>
  <c r="P58" i="1" s="1"/>
  <c r="O65" i="1"/>
  <c r="P65" i="1" s="1"/>
  <c r="M65" i="1"/>
  <c r="N65" i="1" s="1"/>
  <c r="N69" i="1"/>
  <c r="N96" i="1"/>
  <c r="K105" i="1"/>
  <c r="O105" i="1"/>
  <c r="P105" i="1" s="1"/>
  <c r="M105" i="1"/>
  <c r="N105" i="1" s="1"/>
  <c r="K109" i="1"/>
  <c r="N134" i="1"/>
  <c r="N139" i="1"/>
  <c r="N147" i="1"/>
  <c r="K160" i="1"/>
  <c r="O160" i="1"/>
  <c r="M160" i="1"/>
  <c r="N160" i="1" s="1"/>
  <c r="N164" i="1"/>
  <c r="N171" i="1"/>
  <c r="N176" i="1"/>
  <c r="O181" i="1"/>
  <c r="P181" i="1" s="1"/>
  <c r="M181" i="1"/>
  <c r="N181" i="1" s="1"/>
  <c r="K181" i="1"/>
  <c r="N394" i="1"/>
  <c r="O409" i="1"/>
  <c r="K409" i="1"/>
  <c r="O439" i="1"/>
  <c r="P439" i="1" s="1"/>
  <c r="M439" i="1"/>
  <c r="N439" i="1" s="1"/>
  <c r="N457" i="1"/>
  <c r="K480" i="1"/>
  <c r="M480" i="1"/>
  <c r="N480" i="1" s="1"/>
  <c r="K214" i="1"/>
  <c r="O214" i="1"/>
  <c r="M109" i="1"/>
  <c r="N109" i="1" s="1"/>
  <c r="O118" i="1"/>
  <c r="P118" i="1" s="1"/>
  <c r="O135" i="1"/>
  <c r="P135" i="1" s="1"/>
  <c r="O156" i="1"/>
  <c r="P156" i="1" s="1"/>
  <c r="M156" i="1"/>
  <c r="N156" i="1" s="1"/>
  <c r="M214" i="1"/>
  <c r="N214" i="1" s="1"/>
  <c r="O237" i="1"/>
  <c r="P237" i="1" s="1"/>
  <c r="M237" i="1"/>
  <c r="N237" i="1" s="1"/>
  <c r="O272" i="1"/>
  <c r="P272" i="1" s="1"/>
  <c r="M272" i="1"/>
  <c r="N272" i="1" s="1"/>
  <c r="N332" i="1"/>
  <c r="N356" i="1"/>
  <c r="K369" i="1"/>
  <c r="O369" i="1"/>
  <c r="P369" i="1" s="1"/>
  <c r="M369" i="1"/>
  <c r="N385" i="1"/>
  <c r="O919" i="1"/>
  <c r="P919" i="1" s="1"/>
  <c r="M919" i="1"/>
  <c r="N919" i="1" s="1"/>
  <c r="O142" i="1"/>
  <c r="P142" i="1" s="1"/>
  <c r="M142" i="1"/>
  <c r="N142" i="1" s="1"/>
  <c r="K142" i="1"/>
  <c r="O101" i="1"/>
  <c r="P101" i="1" s="1"/>
  <c r="M101" i="1"/>
  <c r="N101" i="1" s="1"/>
  <c r="K101" i="1"/>
  <c r="K128" i="1"/>
  <c r="K156" i="1"/>
  <c r="M257" i="1"/>
  <c r="O257" i="1"/>
  <c r="P257" i="1" s="1"/>
  <c r="O435" i="1"/>
  <c r="P435" i="1" s="1"/>
  <c r="M476" i="1"/>
  <c r="N476" i="1" s="1"/>
  <c r="K476" i="1"/>
  <c r="O398" i="1"/>
  <c r="P398" i="1" s="1"/>
  <c r="M398" i="1"/>
  <c r="N398" i="1" s="1"/>
  <c r="K398" i="1"/>
  <c r="M46" i="1"/>
  <c r="N46" i="1" s="1"/>
  <c r="K34" i="1"/>
  <c r="M34" i="1"/>
  <c r="N34" i="1" s="1"/>
  <c r="M11" i="1"/>
  <c r="N11" i="1" s="1"/>
  <c r="K89" i="1"/>
  <c r="O97" i="1"/>
  <c r="P97" i="1" s="1"/>
  <c r="M97" i="1"/>
  <c r="N97" i="1" s="1"/>
  <c r="O132" i="1"/>
  <c r="P132" i="1" s="1"/>
  <c r="M132" i="1"/>
  <c r="N132" i="1" s="1"/>
  <c r="K143" i="1"/>
  <c r="K152" i="1"/>
  <c r="K186" i="1"/>
  <c r="O186" i="1"/>
  <c r="P186" i="1" s="1"/>
  <c r="N349" i="1"/>
  <c r="N404" i="1"/>
  <c r="M419" i="1"/>
  <c r="N419" i="1" s="1"/>
  <c r="O419" i="1"/>
  <c r="K435" i="1"/>
  <c r="O472" i="1"/>
  <c r="P472" i="1" s="1"/>
  <c r="K472" i="1"/>
  <c r="M196" i="1"/>
  <c r="O196" i="1"/>
  <c r="P196" i="1" s="1"/>
  <c r="O46" i="1"/>
  <c r="P46" i="1" s="1"/>
  <c r="K4" i="1"/>
  <c r="O15" i="1"/>
  <c r="O128" i="1"/>
  <c r="P128" i="1" s="1"/>
  <c r="O189" i="1"/>
  <c r="P189" i="1" s="1"/>
  <c r="M189" i="1"/>
  <c r="N189" i="1" s="1"/>
  <c r="K189" i="1"/>
  <c r="P16" i="1"/>
  <c r="O27" i="1"/>
  <c r="P27" i="1" s="1"/>
  <c r="O34" i="1"/>
  <c r="P34" i="1" s="1"/>
  <c r="M39" i="1"/>
  <c r="N39" i="1" s="1"/>
  <c r="O39" i="1"/>
  <c r="P39" i="1" s="1"/>
  <c r="K47" i="1"/>
  <c r="M85" i="1"/>
  <c r="N85" i="1" s="1"/>
  <c r="M89" i="1"/>
  <c r="N89" i="1" s="1"/>
  <c r="K97" i="1"/>
  <c r="M106" i="1"/>
  <c r="N106" i="1" s="1"/>
  <c r="N111" i="1"/>
  <c r="K120" i="1"/>
  <c r="K132" i="1"/>
  <c r="N148" i="1"/>
  <c r="M152" i="1"/>
  <c r="N152" i="1" s="1"/>
  <c r="O165" i="1"/>
  <c r="P165" i="1" s="1"/>
  <c r="O233" i="1"/>
  <c r="P233" i="1" s="1"/>
  <c r="K267" i="1"/>
  <c r="K282" i="1"/>
  <c r="O282" i="1"/>
  <c r="M282" i="1"/>
  <c r="N282" i="1" s="1"/>
  <c r="M292" i="1"/>
  <c r="N292" i="1" s="1"/>
  <c r="O292" i="1"/>
  <c r="P292" i="1" s="1"/>
  <c r="O305" i="1"/>
  <c r="P305" i="1" s="1"/>
  <c r="K305" i="1"/>
  <c r="N325" i="1"/>
  <c r="K342" i="1"/>
  <c r="K382" i="1"/>
  <c r="M435" i="1"/>
  <c r="N435" i="1" s="1"/>
  <c r="K468" i="1"/>
  <c r="M468" i="1"/>
  <c r="N468" i="1" s="1"/>
  <c r="O51" i="1"/>
  <c r="P51" i="1" s="1"/>
  <c r="M82" i="1"/>
  <c r="N82" i="1" s="1"/>
  <c r="O89" i="1"/>
  <c r="P89" i="1" s="1"/>
  <c r="K94" i="1"/>
  <c r="M94" i="1"/>
  <c r="N94" i="1" s="1"/>
  <c r="M149" i="1"/>
  <c r="N149" i="1" s="1"/>
  <c r="O149" i="1"/>
  <c r="K162" i="1"/>
  <c r="M162" i="1"/>
  <c r="N162" i="1" s="1"/>
  <c r="O169" i="1"/>
  <c r="P169" i="1" s="1"/>
  <c r="M169" i="1"/>
  <c r="N169" i="1" s="1"/>
  <c r="K169" i="1"/>
  <c r="M186" i="1"/>
  <c r="N186" i="1" s="1"/>
  <c r="O190" i="1"/>
  <c r="P190" i="1" s="1"/>
  <c r="K190" i="1"/>
  <c r="M366" i="1"/>
  <c r="N366" i="1" s="1"/>
  <c r="P366" i="1"/>
  <c r="K432" i="1"/>
  <c r="O432" i="1"/>
  <c r="P432" i="1" s="1"/>
  <c r="K513" i="1"/>
  <c r="M513" i="1"/>
  <c r="N513" i="1" s="1"/>
  <c r="M312" i="1"/>
  <c r="O312" i="1"/>
  <c r="P312" i="1" s="1"/>
  <c r="O4" i="1"/>
  <c r="P4" i="1" s="1"/>
  <c r="M47" i="1"/>
  <c r="N47" i="1" s="1"/>
  <c r="O5" i="1"/>
  <c r="P5" i="1" s="1"/>
  <c r="O9" i="1"/>
  <c r="P9" i="1" s="1"/>
  <c r="K12" i="1"/>
  <c r="K20" i="1"/>
  <c r="O20" i="1"/>
  <c r="P20" i="1" s="1"/>
  <c r="N32" i="1"/>
  <c r="K35" i="1"/>
  <c r="P40" i="1"/>
  <c r="K44" i="1"/>
  <c r="N59" i="1"/>
  <c r="K90" i="1"/>
  <c r="K107" i="1"/>
  <c r="N120" i="1"/>
  <c r="N129" i="1"/>
  <c r="K144" i="1"/>
  <c r="N165" i="1"/>
  <c r="K174" i="1"/>
  <c r="M208" i="1"/>
  <c r="N208" i="1" s="1"/>
  <c r="O208" i="1"/>
  <c r="P208" i="1" s="1"/>
  <c r="K208" i="1"/>
  <c r="M254" i="1"/>
  <c r="N254" i="1" s="1"/>
  <c r="K254" i="1"/>
  <c r="K366" i="1"/>
  <c r="O446" i="1"/>
  <c r="P446" i="1" s="1"/>
  <c r="M87" i="1"/>
  <c r="N87" i="1" s="1"/>
  <c r="O87" i="1"/>
  <c r="P87" i="1" s="1"/>
  <c r="N99" i="1"/>
  <c r="O112" i="1"/>
  <c r="P112" i="1" s="1"/>
  <c r="K112" i="1"/>
  <c r="O125" i="1"/>
  <c r="P125" i="1" s="1"/>
  <c r="M125" i="1"/>
  <c r="N125" i="1" s="1"/>
  <c r="K138" i="1"/>
  <c r="O138" i="1"/>
  <c r="P138" i="1" s="1"/>
  <c r="M278" i="1"/>
  <c r="N278" i="1" s="1"/>
  <c r="K278" i="1"/>
  <c r="N9" i="1"/>
  <c r="P21" i="1"/>
  <c r="K45" i="1"/>
  <c r="M45" i="1"/>
  <c r="N45" i="1" s="1"/>
  <c r="P64" i="1"/>
  <c r="O117" i="1"/>
  <c r="P117" i="1" s="1"/>
  <c r="M117" i="1"/>
  <c r="N117" i="1" s="1"/>
  <c r="O145" i="1"/>
  <c r="P145" i="1" s="1"/>
  <c r="M145" i="1"/>
  <c r="N145" i="1" s="1"/>
  <c r="K145" i="1"/>
  <c r="N446" i="1"/>
  <c r="O76" i="1"/>
  <c r="P76" i="1" s="1"/>
  <c r="N5" i="1"/>
  <c r="N95" i="1"/>
  <c r="P113" i="1"/>
  <c r="M113" i="1"/>
  <c r="N113" i="1" s="1"/>
  <c r="O289" i="1"/>
  <c r="P289" i="1" s="1"/>
  <c r="M289" i="1"/>
  <c r="N289" i="1" s="1"/>
  <c r="K289" i="1"/>
  <c r="O412" i="1"/>
  <c r="P412" i="1" s="1"/>
  <c r="K492" i="1"/>
  <c r="M492" i="1"/>
  <c r="N492" i="1" s="1"/>
  <c r="N24" i="1"/>
  <c r="P29" i="1"/>
  <c r="K29" i="1"/>
  <c r="K57" i="1"/>
  <c r="M57" i="1"/>
  <c r="N57" i="1" s="1"/>
  <c r="O72" i="1"/>
  <c r="P72" i="1" s="1"/>
  <c r="M72" i="1"/>
  <c r="N72" i="1" s="1"/>
  <c r="M83" i="1"/>
  <c r="N83" i="1" s="1"/>
  <c r="O99" i="1"/>
  <c r="P99" i="1" s="1"/>
  <c r="O108" i="1"/>
  <c r="P108" i="1" s="1"/>
  <c r="M108" i="1"/>
  <c r="N108" i="1" s="1"/>
  <c r="K108" i="1"/>
  <c r="K121" i="1"/>
  <c r="N141" i="1"/>
  <c r="O191" i="1"/>
  <c r="P191" i="1" s="1"/>
  <c r="M209" i="1"/>
  <c r="N209" i="1" s="1"/>
  <c r="O209" i="1"/>
  <c r="P209" i="1" s="1"/>
  <c r="N13" i="1"/>
  <c r="M21" i="1"/>
  <c r="N21" i="1" s="1"/>
  <c r="O25" i="1"/>
  <c r="P25" i="1" s="1"/>
  <c r="M25" i="1"/>
  <c r="N25" i="1" s="1"/>
  <c r="K36" i="1"/>
  <c r="P41" i="1"/>
  <c r="K41" i="1"/>
  <c r="O45" i="1"/>
  <c r="P45" i="1" s="1"/>
  <c r="P53" i="1"/>
  <c r="K53" i="1"/>
  <c r="K60" i="1"/>
  <c r="K64" i="1"/>
  <c r="K69" i="1"/>
  <c r="O69" i="1"/>
  <c r="P69" i="1" s="1"/>
  <c r="K76" i="1"/>
  <c r="N104" i="1"/>
  <c r="M121" i="1"/>
  <c r="N121" i="1" s="1"/>
  <c r="N131" i="1"/>
  <c r="K139" i="1"/>
  <c r="O139" i="1"/>
  <c r="P139" i="1" s="1"/>
  <c r="M159" i="1"/>
  <c r="N159" i="1" s="1"/>
  <c r="O163" i="1"/>
  <c r="M163" i="1"/>
  <c r="N163" i="1" s="1"/>
  <c r="K163" i="1"/>
  <c r="O261" i="1"/>
  <c r="P261" i="1" s="1"/>
  <c r="M261" i="1"/>
  <c r="N261" i="1" s="1"/>
  <c r="O265" i="1"/>
  <c r="P265" i="1" s="1"/>
  <c r="M265" i="1"/>
  <c r="N265" i="1" s="1"/>
  <c r="K265" i="1"/>
  <c r="O285" i="1"/>
  <c r="P285" i="1" s="1"/>
  <c r="M285" i="1"/>
  <c r="N285" i="1" s="1"/>
  <c r="M336" i="1"/>
  <c r="N336" i="1" s="1"/>
  <c r="O336" i="1"/>
  <c r="P336" i="1" s="1"/>
  <c r="M360" i="1"/>
  <c r="N360" i="1" s="1"/>
  <c r="O360" i="1"/>
  <c r="P360" i="1" s="1"/>
  <c r="O372" i="1"/>
  <c r="P372" i="1" s="1"/>
  <c r="M372" i="1"/>
  <c r="N372" i="1" s="1"/>
  <c r="K372" i="1"/>
  <c r="O389" i="1"/>
  <c r="P389" i="1" s="1"/>
  <c r="K408" i="1"/>
  <c r="K412" i="1"/>
  <c r="N428" i="1"/>
  <c r="O568" i="1"/>
  <c r="P568" i="1" s="1"/>
  <c r="K568" i="1"/>
  <c r="O951" i="1"/>
  <c r="P951" i="1" s="1"/>
  <c r="M951" i="1"/>
  <c r="N951" i="1" s="1"/>
  <c r="K237" i="1"/>
  <c r="K272" i="1"/>
  <c r="N369" i="1"/>
  <c r="N443" i="1"/>
  <c r="N488" i="1"/>
  <c r="O827" i="1"/>
  <c r="P827" i="1" s="1"/>
  <c r="M827" i="1"/>
  <c r="N827" i="1" s="1"/>
  <c r="K827" i="1"/>
  <c r="K206" i="1"/>
  <c r="K218" i="1"/>
  <c r="K248" i="1"/>
  <c r="K315" i="1"/>
  <c r="N525" i="1"/>
  <c r="O535" i="1"/>
  <c r="P535" i="1" s="1"/>
  <c r="M535" i="1"/>
  <c r="N535" i="1" s="1"/>
  <c r="K535" i="1"/>
  <c r="O797" i="1"/>
  <c r="P797" i="1" s="1"/>
  <c r="M797" i="1"/>
  <c r="N797" i="1" s="1"/>
  <c r="P17" i="1"/>
  <c r="P28" i="1"/>
  <c r="K37" i="1"/>
  <c r="P52" i="1"/>
  <c r="K126" i="1"/>
  <c r="K150" i="1"/>
  <c r="K166" i="1"/>
  <c r="K212" i="1"/>
  <c r="K230" i="1"/>
  <c r="M234" i="1"/>
  <c r="N234" i="1" s="1"/>
  <c r="K241" i="1"/>
  <c r="M248" i="1"/>
  <c r="N248" i="1" s="1"/>
  <c r="K268" i="1"/>
  <c r="O276" i="1"/>
  <c r="P276" i="1" s="1"/>
  <c r="K302" i="1"/>
  <c r="N323" i="1"/>
  <c r="K329" i="1"/>
  <c r="N340" i="1"/>
  <c r="N347" i="1"/>
  <c r="K353" i="1"/>
  <c r="O363" i="1"/>
  <c r="P363" i="1" s="1"/>
  <c r="K377" i="1"/>
  <c r="K386" i="1"/>
  <c r="K392" i="1"/>
  <c r="K395" i="1"/>
  <c r="O443" i="1"/>
  <c r="K447" i="1"/>
  <c r="K464" i="1"/>
  <c r="N485" i="1"/>
  <c r="K488" i="1"/>
  <c r="P498" i="1"/>
  <c r="K70" i="1"/>
  <c r="P77" i="1"/>
  <c r="K81" i="1"/>
  <c r="P88" i="1"/>
  <c r="P91" i="1"/>
  <c r="O115" i="1"/>
  <c r="P115" i="1" s="1"/>
  <c r="K119" i="1"/>
  <c r="N122" i="1"/>
  <c r="N153" i="1"/>
  <c r="K184" i="1"/>
  <c r="M210" i="1"/>
  <c r="N210" i="1" s="1"/>
  <c r="M212" i="1"/>
  <c r="N212" i="1" s="1"/>
  <c r="O234" i="1"/>
  <c r="M241" i="1"/>
  <c r="N241" i="1" s="1"/>
  <c r="K245" i="1"/>
  <c r="O252" i="1"/>
  <c r="P252" i="1" s="1"/>
  <c r="O268" i="1"/>
  <c r="P268" i="1" s="1"/>
  <c r="K296" i="1"/>
  <c r="M306" i="1"/>
  <c r="N306" i="1" s="1"/>
  <c r="K309" i="1"/>
  <c r="K333" i="1"/>
  <c r="K357" i="1"/>
  <c r="K367" i="1"/>
  <c r="K383" i="1"/>
  <c r="O386" i="1"/>
  <c r="P386" i="1" s="1"/>
  <c r="M392" i="1"/>
  <c r="N392" i="1" s="1"/>
  <c r="M395" i="1"/>
  <c r="N395" i="1" s="1"/>
  <c r="M402" i="1"/>
  <c r="N402" i="1" s="1"/>
  <c r="P405" i="1"/>
  <c r="K416" i="1"/>
  <c r="M420" i="1"/>
  <c r="N420" i="1" s="1"/>
  <c r="K423" i="1"/>
  <c r="P443" i="1"/>
  <c r="M447" i="1"/>
  <c r="N447" i="1" s="1"/>
  <c r="K451" i="1"/>
  <c r="K458" i="1"/>
  <c r="O515" i="1"/>
  <c r="P515" i="1" s="1"/>
  <c r="M515" i="1"/>
  <c r="M561" i="1"/>
  <c r="N561" i="1" s="1"/>
  <c r="O561" i="1"/>
  <c r="P561" i="1" s="1"/>
  <c r="K561" i="1"/>
  <c r="N84" i="1"/>
  <c r="N116" i="1"/>
  <c r="O119" i="1"/>
  <c r="N127" i="1"/>
  <c r="K178" i="1"/>
  <c r="O245" i="1"/>
  <c r="P245" i="1" s="1"/>
  <c r="K255" i="1"/>
  <c r="M309" i="1"/>
  <c r="N309" i="1" s="1"/>
  <c r="M333" i="1"/>
  <c r="N333" i="1" s="1"/>
  <c r="M357" i="1"/>
  <c r="N357" i="1" s="1"/>
  <c r="M367" i="1"/>
  <c r="N367" i="1" s="1"/>
  <c r="P392" i="1"/>
  <c r="N406" i="1"/>
  <c r="K410" i="1"/>
  <c r="M423" i="1"/>
  <c r="N423" i="1" s="1"/>
  <c r="K430" i="1"/>
  <c r="K444" i="1"/>
  <c r="M451" i="1"/>
  <c r="N451" i="1" s="1"/>
  <c r="M458" i="1"/>
  <c r="N458" i="1" s="1"/>
  <c r="P482" i="1"/>
  <c r="M482" i="1"/>
  <c r="N494" i="1"/>
  <c r="N502" i="1"/>
  <c r="N506" i="1"/>
  <c r="O511" i="1"/>
  <c r="P511" i="1" s="1"/>
  <c r="M511" i="1"/>
  <c r="N511" i="1" s="1"/>
  <c r="K521" i="1"/>
  <c r="P423" i="1"/>
  <c r="M478" i="1"/>
  <c r="N478" i="1" s="1"/>
  <c r="O478" i="1"/>
  <c r="P478" i="1" s="1"/>
  <c r="M490" i="1"/>
  <c r="N490" i="1" s="1"/>
  <c r="O490" i="1"/>
  <c r="P490" i="1" s="1"/>
  <c r="K684" i="1"/>
  <c r="M684" i="1"/>
  <c r="N684" i="1" s="1"/>
  <c r="K213" i="1"/>
  <c r="N219" i="1"/>
  <c r="N224" i="1"/>
  <c r="K260" i="1"/>
  <c r="K284" i="1"/>
  <c r="O367" i="1"/>
  <c r="P367" i="1" s="1"/>
  <c r="N396" i="1"/>
  <c r="N417" i="1"/>
  <c r="N421" i="1"/>
  <c r="N444" i="1"/>
  <c r="K456" i="1"/>
  <c r="O458" i="1"/>
  <c r="P458" i="1" s="1"/>
  <c r="O470" i="1"/>
  <c r="P470" i="1" s="1"/>
  <c r="M470" i="1"/>
  <c r="N470" i="1" s="1"/>
  <c r="M542" i="1"/>
  <c r="N542" i="1" s="1"/>
  <c r="O542" i="1"/>
  <c r="P542" i="1" s="1"/>
  <c r="N576" i="1"/>
  <c r="M213" i="1"/>
  <c r="N213" i="1" s="1"/>
  <c r="K242" i="1"/>
  <c r="M246" i="1"/>
  <c r="N246" i="1" s="1"/>
  <c r="K253" i="1"/>
  <c r="M260" i="1"/>
  <c r="K266" i="1"/>
  <c r="M284" i="1"/>
  <c r="N284" i="1" s="1"/>
  <c r="N290" i="1"/>
  <c r="O324" i="1"/>
  <c r="P324" i="1" s="1"/>
  <c r="K327" i="1"/>
  <c r="O348" i="1"/>
  <c r="P348" i="1" s="1"/>
  <c r="K393" i="1"/>
  <c r="P399" i="1"/>
  <c r="K431" i="1"/>
  <c r="K499" i="1"/>
  <c r="M503" i="1"/>
  <c r="N503" i="1" s="1"/>
  <c r="P503" i="1"/>
  <c r="O507" i="1"/>
  <c r="P507" i="1" s="1"/>
  <c r="M507" i="1"/>
  <c r="N507" i="1" s="1"/>
  <c r="K507" i="1"/>
  <c r="M667" i="1"/>
  <c r="N667" i="1" s="1"/>
  <c r="K667" i="1"/>
  <c r="O667" i="1"/>
  <c r="P667" i="1" s="1"/>
  <c r="K182" i="1"/>
  <c r="N8" i="1"/>
  <c r="K11" i="1"/>
  <c r="K33" i="1"/>
  <c r="K71" i="1"/>
  <c r="N75" i="1"/>
  <c r="K85" i="1"/>
  <c r="K93" i="1"/>
  <c r="P100" i="1"/>
  <c r="P103" i="1"/>
  <c r="K168" i="1"/>
  <c r="K180" i="1"/>
  <c r="O185" i="1"/>
  <c r="P185" i="1" s="1"/>
  <c r="N197" i="1"/>
  <c r="P213" i="1"/>
  <c r="N220" i="1"/>
  <c r="O246" i="1"/>
  <c r="O256" i="1"/>
  <c r="P256" i="1" s="1"/>
  <c r="M294" i="1"/>
  <c r="N294" i="1" s="1"/>
  <c r="K297" i="1"/>
  <c r="O304" i="1"/>
  <c r="P304" i="1" s="1"/>
  <c r="N311" i="1"/>
  <c r="K317" i="1"/>
  <c r="N328" i="1"/>
  <c r="N335" i="1"/>
  <c r="K341" i="1"/>
  <c r="N352" i="1"/>
  <c r="N359" i="1"/>
  <c r="K374" i="1"/>
  <c r="K379" i="1"/>
  <c r="K384" i="1"/>
  <c r="N388" i="1"/>
  <c r="K407" i="1"/>
  <c r="K411" i="1"/>
  <c r="N418" i="1"/>
  <c r="P422" i="1"/>
  <c r="O431" i="1"/>
  <c r="P431" i="1" s="1"/>
  <c r="M456" i="1"/>
  <c r="N456" i="1" s="1"/>
  <c r="M467" i="1"/>
  <c r="N467" i="1" s="1"/>
  <c r="O467" i="1"/>
  <c r="P467" i="1" s="1"/>
  <c r="K467" i="1"/>
  <c r="K479" i="1"/>
  <c r="K491" i="1"/>
  <c r="K495" i="1"/>
  <c r="K503" i="1"/>
  <c r="N518" i="1"/>
  <c r="M538" i="1"/>
  <c r="O538" i="1"/>
  <c r="P538" i="1" s="1"/>
  <c r="K538" i="1"/>
  <c r="K542" i="1"/>
  <c r="N547" i="1"/>
  <c r="O573" i="1"/>
  <c r="P573" i="1" s="1"/>
  <c r="M700" i="1"/>
  <c r="N700" i="1" s="1"/>
  <c r="O700" i="1"/>
  <c r="P700" i="1" s="1"/>
  <c r="M778" i="1"/>
  <c r="N778" i="1" s="1"/>
  <c r="O778" i="1"/>
  <c r="P778" i="1" s="1"/>
  <c r="O920" i="1"/>
  <c r="P920" i="1" s="1"/>
  <c r="M920" i="1"/>
  <c r="N920" i="1" s="1"/>
  <c r="K920" i="1"/>
  <c r="O943" i="1"/>
  <c r="P943" i="1" s="1"/>
  <c r="M943" i="1"/>
  <c r="N943" i="1" s="1"/>
  <c r="K943" i="1"/>
  <c r="N515" i="1"/>
  <c r="M828" i="1"/>
  <c r="N828" i="1" s="1"/>
  <c r="K828" i="1"/>
  <c r="O894" i="1"/>
  <c r="P894" i="1" s="1"/>
  <c r="M956" i="1"/>
  <c r="N956" i="1" s="1"/>
  <c r="K956" i="1"/>
  <c r="P486" i="1"/>
  <c r="K504" i="1"/>
  <c r="P527" i="1"/>
  <c r="M527" i="1"/>
  <c r="N527" i="1" s="1"/>
  <c r="M548" i="1"/>
  <c r="N548" i="1" s="1"/>
  <c r="K548" i="1"/>
  <c r="O555" i="1"/>
  <c r="P555" i="1" s="1"/>
  <c r="K555" i="1"/>
  <c r="M558" i="1"/>
  <c r="N558" i="1" s="1"/>
  <c r="M574" i="1"/>
  <c r="N574" i="1" s="1"/>
  <c r="P574" i="1"/>
  <c r="N580" i="1"/>
  <c r="K600" i="1"/>
  <c r="O600" i="1"/>
  <c r="P600" i="1" s="1"/>
  <c r="M600" i="1"/>
  <c r="N600" i="1" s="1"/>
  <c r="M706" i="1"/>
  <c r="N706" i="1" s="1"/>
  <c r="O706" i="1"/>
  <c r="P706" i="1" s="1"/>
  <c r="K706" i="1"/>
  <c r="O978" i="1"/>
  <c r="P978" i="1" s="1"/>
  <c r="N497" i="1"/>
  <c r="N517" i="1"/>
  <c r="K527" i="1"/>
  <c r="P545" i="1"/>
  <c r="M552" i="1"/>
  <c r="N552" i="1" s="1"/>
  <c r="O558" i="1"/>
  <c r="P558" i="1" s="1"/>
  <c r="K577" i="1"/>
  <c r="O677" i="1"/>
  <c r="P677" i="1" s="1"/>
  <c r="N681" i="1"/>
  <c r="K681" i="1"/>
  <c r="M727" i="1"/>
  <c r="N727" i="1" s="1"/>
  <c r="K727" i="1"/>
  <c r="K732" i="1"/>
  <c r="O732" i="1"/>
  <c r="P732" i="1" s="1"/>
  <c r="M732" i="1"/>
  <c r="N732" i="1" s="1"/>
  <c r="O823" i="1"/>
  <c r="P823" i="1" s="1"/>
  <c r="M823" i="1"/>
  <c r="N823" i="1" s="1"/>
  <c r="O834" i="1"/>
  <c r="P834" i="1" s="1"/>
  <c r="O839" i="1"/>
  <c r="P839" i="1" s="1"/>
  <c r="M839" i="1"/>
  <c r="N839" i="1" s="1"/>
  <c r="K839" i="1"/>
  <c r="O673" i="1"/>
  <c r="M673" i="1"/>
  <c r="N673" i="1" s="1"/>
  <c r="K673" i="1"/>
  <c r="O844" i="1"/>
  <c r="P844" i="1" s="1"/>
  <c r="M844" i="1"/>
  <c r="N844" i="1" s="1"/>
  <c r="P539" i="1"/>
  <c r="K570" i="1"/>
  <c r="K578" i="1"/>
  <c r="O727" i="1"/>
  <c r="P727" i="1" s="1"/>
  <c r="K756" i="1"/>
  <c r="O756" i="1"/>
  <c r="P756" i="1" s="1"/>
  <c r="M756" i="1"/>
  <c r="N756" i="1" s="1"/>
  <c r="M761" i="1"/>
  <c r="N761" i="1" s="1"/>
  <c r="O761" i="1"/>
  <c r="O824" i="1"/>
  <c r="P824" i="1" s="1"/>
  <c r="O967" i="1"/>
  <c r="P967" i="1" s="1"/>
  <c r="M967" i="1"/>
  <c r="N967" i="1" s="1"/>
  <c r="K967" i="1"/>
  <c r="N509" i="1"/>
  <c r="N522" i="1"/>
  <c r="K540" i="1"/>
  <c r="O540" i="1"/>
  <c r="P540" i="1" s="1"/>
  <c r="K559" i="1"/>
  <c r="O570" i="1"/>
  <c r="O614" i="1"/>
  <c r="P614" i="1" s="1"/>
  <c r="M614" i="1"/>
  <c r="N614" i="1" s="1"/>
  <c r="K636" i="1"/>
  <c r="O636" i="1"/>
  <c r="P636" i="1" s="1"/>
  <c r="M636" i="1"/>
  <c r="N636" i="1" s="1"/>
  <c r="N640" i="1"/>
  <c r="K640" i="1"/>
  <c r="N660" i="1"/>
  <c r="K660" i="1"/>
  <c r="O795" i="1"/>
  <c r="P795" i="1" s="1"/>
  <c r="M795" i="1"/>
  <c r="K795" i="1"/>
  <c r="O815" i="1"/>
  <c r="P815" i="1" s="1"/>
  <c r="M815" i="1"/>
  <c r="N815" i="1" s="1"/>
  <c r="K815" i="1"/>
  <c r="O908" i="1"/>
  <c r="P908" i="1" s="1"/>
  <c r="M908" i="1"/>
  <c r="N908" i="1" s="1"/>
  <c r="K908" i="1"/>
  <c r="P931" i="1"/>
  <c r="O931" i="1"/>
  <c r="M931" i="1"/>
  <c r="N931" i="1" s="1"/>
  <c r="K931" i="1"/>
  <c r="M936" i="1"/>
  <c r="N936" i="1" s="1"/>
  <c r="K936" i="1"/>
  <c r="M550" i="1"/>
  <c r="N550" i="1" s="1"/>
  <c r="K550" i="1"/>
  <c r="P550" i="1"/>
  <c r="M559" i="1"/>
  <c r="N559" i="1" s="1"/>
  <c r="K571" i="1"/>
  <c r="O571" i="1"/>
  <c r="P571" i="1" s="1"/>
  <c r="M645" i="1"/>
  <c r="N645" i="1" s="1"/>
  <c r="O645" i="1"/>
  <c r="O734" i="1"/>
  <c r="P734" i="1" s="1"/>
  <c r="M734" i="1"/>
  <c r="N734" i="1" s="1"/>
  <c r="O871" i="1"/>
  <c r="P871" i="1" s="1"/>
  <c r="M871" i="1"/>
  <c r="N871" i="1" s="1"/>
  <c r="M537" i="1"/>
  <c r="N537" i="1" s="1"/>
  <c r="P537" i="1"/>
  <c r="N590" i="1"/>
  <c r="O683" i="1"/>
  <c r="P683" i="1" s="1"/>
  <c r="M683" i="1"/>
  <c r="K683" i="1"/>
  <c r="O525" i="1"/>
  <c r="P525" i="1" s="1"/>
  <c r="M560" i="1"/>
  <c r="N560" i="1" s="1"/>
  <c r="K560" i="1"/>
  <c r="M571" i="1"/>
  <c r="N571" i="1" s="1"/>
  <c r="O801" i="1"/>
  <c r="M801" i="1"/>
  <c r="N801" i="1" s="1"/>
  <c r="O811" i="1"/>
  <c r="P811" i="1" s="1"/>
  <c r="M811" i="1"/>
  <c r="N811" i="1" s="1"/>
  <c r="O986" i="1"/>
  <c r="P986" i="1" s="1"/>
  <c r="N530" i="1"/>
  <c r="N564" i="1"/>
  <c r="K575" i="1"/>
  <c r="K588" i="1"/>
  <c r="P607" i="1"/>
  <c r="K612" i="1"/>
  <c r="N618" i="1"/>
  <c r="O624" i="1"/>
  <c r="P624" i="1" s="1"/>
  <c r="P634" i="1"/>
  <c r="P643" i="1"/>
  <c r="K672" i="1"/>
  <c r="M674" i="1"/>
  <c r="N674" i="1" s="1"/>
  <c r="N683" i="1"/>
  <c r="M686" i="1"/>
  <c r="N686" i="1" s="1"/>
  <c r="P714" i="1"/>
  <c r="O751" i="1"/>
  <c r="P751" i="1" s="1"/>
  <c r="N767" i="1"/>
  <c r="M770" i="1"/>
  <c r="N770" i="1" s="1"/>
  <c r="K778" i="1"/>
  <c r="N785" i="1"/>
  <c r="P819" i="1"/>
  <c r="K823" i="1"/>
  <c r="K834" i="1"/>
  <c r="P847" i="1"/>
  <c r="M851" i="1"/>
  <c r="N851" i="1" s="1"/>
  <c r="K866" i="1"/>
  <c r="M872" i="1"/>
  <c r="N872" i="1" s="1"/>
  <c r="O883" i="1"/>
  <c r="P883" i="1" s="1"/>
  <c r="K894" i="1"/>
  <c r="N904" i="1"/>
  <c r="K919" i="1"/>
  <c r="K926" i="1"/>
  <c r="O939" i="1"/>
  <c r="P939" i="1" s="1"/>
  <c r="N949" i="1"/>
  <c r="M976" i="1"/>
  <c r="N976" i="1" s="1"/>
  <c r="P979" i="1"/>
  <c r="K983" i="1"/>
  <c r="N631" i="1"/>
  <c r="P656" i="1"/>
  <c r="O669" i="1"/>
  <c r="P669" i="1" s="1"/>
  <c r="O686" i="1"/>
  <c r="P686" i="1" s="1"/>
  <c r="N712" i="1"/>
  <c r="N738" i="1"/>
  <c r="N763" i="1"/>
  <c r="O770" i="1"/>
  <c r="P770" i="1" s="1"/>
  <c r="N876" i="1"/>
  <c r="N887" i="1"/>
  <c r="P930" i="1"/>
  <c r="N932" i="1"/>
  <c r="N983" i="1"/>
  <c r="N602" i="1"/>
  <c r="P657" i="1"/>
  <c r="K807" i="1"/>
  <c r="K870" i="1"/>
  <c r="N880" i="1"/>
  <c r="K891" i="1"/>
  <c r="N901" i="1"/>
  <c r="K930" i="1"/>
  <c r="P954" i="1"/>
  <c r="K544" i="1"/>
  <c r="N562" i="1"/>
  <c r="K576" i="1"/>
  <c r="O588" i="1"/>
  <c r="P588" i="1" s="1"/>
  <c r="K599" i="1"/>
  <c r="P606" i="1"/>
  <c r="O622" i="1"/>
  <c r="P622" i="1" s="1"/>
  <c r="N629" i="1"/>
  <c r="K635" i="1"/>
  <c r="K638" i="1"/>
  <c r="K641" i="1"/>
  <c r="K644" i="1"/>
  <c r="K663" i="1"/>
  <c r="N670" i="1"/>
  <c r="O672" i="1"/>
  <c r="K710" i="1"/>
  <c r="N746" i="1"/>
  <c r="M768" i="1"/>
  <c r="N768" i="1" s="1"/>
  <c r="K775" i="1"/>
  <c r="N782" i="1"/>
  <c r="N798" i="1"/>
  <c r="P800" i="1"/>
  <c r="M820" i="1"/>
  <c r="N820" i="1" s="1"/>
  <c r="K831" i="1"/>
  <c r="K835" i="1"/>
  <c r="K848" i="1"/>
  <c r="K863" i="1"/>
  <c r="O870" i="1"/>
  <c r="P870" i="1" s="1"/>
  <c r="P880" i="1"/>
  <c r="K895" i="1"/>
  <c r="K902" i="1"/>
  <c r="P906" i="1"/>
  <c r="O930" i="1"/>
  <c r="K947" i="1"/>
  <c r="O950" i="1"/>
  <c r="P950" i="1" s="1"/>
  <c r="K954" i="1"/>
  <c r="K974" i="1"/>
  <c r="K984" i="1"/>
  <c r="N641" i="1"/>
  <c r="K757" i="1"/>
  <c r="O768" i="1"/>
  <c r="P768" i="1" s="1"/>
  <c r="N779" i="1"/>
  <c r="K811" i="1"/>
  <c r="O835" i="1"/>
  <c r="P835" i="1" s="1"/>
  <c r="P846" i="1"/>
  <c r="P856" i="1"/>
  <c r="K871" i="1"/>
  <c r="M884" i="1"/>
  <c r="N884" i="1" s="1"/>
  <c r="O895" i="1"/>
  <c r="P895" i="1" s="1"/>
  <c r="N937" i="1"/>
  <c r="P940" i="1"/>
  <c r="K951" i="1"/>
  <c r="M971" i="1"/>
  <c r="N971" i="1" s="1"/>
  <c r="K978" i="1"/>
  <c r="P981" i="1"/>
  <c r="M984" i="1"/>
  <c r="N984" i="1" s="1"/>
  <c r="K536" i="1"/>
  <c r="K539" i="1"/>
  <c r="N563" i="1"/>
  <c r="N566" i="1"/>
  <c r="N586" i="1"/>
  <c r="O619" i="1"/>
  <c r="P619" i="1" s="1"/>
  <c r="N626" i="1"/>
  <c r="P630" i="1"/>
  <c r="K665" i="1"/>
  <c r="K671" i="1"/>
  <c r="K744" i="1"/>
  <c r="K754" i="1"/>
  <c r="K780" i="1"/>
  <c r="O782" i="1"/>
  <c r="P782" i="1" s="1"/>
  <c r="K791" i="1"/>
  <c r="K846" i="1"/>
  <c r="P882" i="1"/>
  <c r="N888" i="1"/>
  <c r="N899" i="1"/>
  <c r="K938" i="1"/>
  <c r="K975" i="1"/>
  <c r="K623" i="1"/>
  <c r="K626" i="1"/>
  <c r="K652" i="1"/>
  <c r="O655" i="1"/>
  <c r="P655" i="1" s="1"/>
  <c r="K688" i="1"/>
  <c r="K704" i="1"/>
  <c r="M708" i="1"/>
  <c r="N708" i="1" s="1"/>
  <c r="M720" i="1"/>
  <c r="N720" i="1" s="1"/>
  <c r="N758" i="1"/>
  <c r="N766" i="1"/>
  <c r="N773" i="1"/>
  <c r="M791" i="1"/>
  <c r="K804" i="1"/>
  <c r="K914" i="1"/>
  <c r="K624" i="1"/>
  <c r="N649" i="1"/>
  <c r="K653" i="1"/>
  <c r="N682" i="1"/>
  <c r="K758" i="1"/>
  <c r="N832" i="1"/>
  <c r="N857" i="1"/>
  <c r="P942" i="1"/>
  <c r="N985" i="1"/>
  <c r="P858" i="1"/>
  <c r="P969" i="1"/>
  <c r="K564" i="1"/>
  <c r="M624" i="1"/>
  <c r="N624" i="1" s="1"/>
  <c r="K634" i="1"/>
  <c r="K647" i="1"/>
  <c r="N654" i="1"/>
  <c r="O658" i="1"/>
  <c r="P658" i="1" s="1"/>
  <c r="K666" i="1"/>
  <c r="O671" i="1"/>
  <c r="P671" i="1" s="1"/>
  <c r="K682" i="1"/>
  <c r="N694" i="1"/>
  <c r="K698" i="1"/>
  <c r="P708" i="1"/>
  <c r="P720" i="1"/>
  <c r="P726" i="1"/>
  <c r="O744" i="1"/>
  <c r="P744" i="1" s="1"/>
  <c r="P747" i="1"/>
  <c r="O777" i="1"/>
  <c r="P777" i="1" s="1"/>
  <c r="O780" i="1"/>
  <c r="P780" i="1" s="1"/>
  <c r="M836" i="1"/>
  <c r="N836" i="1" s="1"/>
  <c r="K858" i="1"/>
  <c r="P868" i="1"/>
  <c r="K883" i="1"/>
  <c r="K890" i="1"/>
  <c r="M896" i="1"/>
  <c r="N896" i="1" s="1"/>
  <c r="O918" i="1"/>
  <c r="P918" i="1" s="1"/>
  <c r="M928" i="1"/>
  <c r="N928" i="1" s="1"/>
  <c r="K939" i="1"/>
  <c r="O942" i="1"/>
  <c r="O966" i="1"/>
  <c r="P966" i="1" s="1"/>
  <c r="K986" i="1"/>
  <c r="O44" i="1"/>
  <c r="P44" i="1" s="1"/>
  <c r="O56" i="1"/>
  <c r="P56" i="1" s="1"/>
  <c r="O68" i="1"/>
  <c r="P68" i="1" s="1"/>
  <c r="O80" i="1"/>
  <c r="P80" i="1" s="1"/>
  <c r="O92" i="1"/>
  <c r="P92" i="1" s="1"/>
  <c r="O104" i="1"/>
  <c r="P104" i="1" s="1"/>
  <c r="O116" i="1"/>
  <c r="P116" i="1" s="1"/>
  <c r="O127" i="1"/>
  <c r="P127" i="1" s="1"/>
  <c r="P136" i="1"/>
  <c r="O147" i="1"/>
  <c r="P147" i="1" s="1"/>
  <c r="M179" i="1"/>
  <c r="N179" i="1" s="1"/>
  <c r="K179" i="1"/>
  <c r="O243" i="1"/>
  <c r="P243" i="1" s="1"/>
  <c r="M271" i="1"/>
  <c r="N271" i="1" s="1"/>
  <c r="K271" i="1"/>
  <c r="O279" i="1"/>
  <c r="P279" i="1" s="1"/>
  <c r="M279" i="1"/>
  <c r="N279" i="1" s="1"/>
  <c r="N300" i="1"/>
  <c r="K223" i="1"/>
  <c r="K259" i="1"/>
  <c r="O319" i="1"/>
  <c r="P319" i="1" s="1"/>
  <c r="M319" i="1"/>
  <c r="N319" i="1" s="1"/>
  <c r="K319" i="1"/>
  <c r="K7" i="1"/>
  <c r="K31" i="1"/>
  <c r="K43" i="1"/>
  <c r="K55" i="1"/>
  <c r="P63" i="1"/>
  <c r="K67" i="1"/>
  <c r="O70" i="1"/>
  <c r="P70" i="1" s="1"/>
  <c r="K79" i="1"/>
  <c r="O82" i="1"/>
  <c r="P82" i="1" s="1"/>
  <c r="K91" i="1"/>
  <c r="O94" i="1"/>
  <c r="P94" i="1" s="1"/>
  <c r="K103" i="1"/>
  <c r="O106" i="1"/>
  <c r="P106" i="1" s="1"/>
  <c r="P111" i="1"/>
  <c r="K115" i="1"/>
  <c r="O120" i="1"/>
  <c r="P120" i="1" s="1"/>
  <c r="K124" i="1"/>
  <c r="P129" i="1"/>
  <c r="K135" i="1"/>
  <c r="P149" i="1"/>
  <c r="O151" i="1"/>
  <c r="P151" i="1" s="1"/>
  <c r="K155" i="1"/>
  <c r="P160" i="1"/>
  <c r="P166" i="1"/>
  <c r="K192" i="1"/>
  <c r="N196" i="1"/>
  <c r="K202" i="1"/>
  <c r="P214" i="1"/>
  <c r="M239" i="1"/>
  <c r="N239" i="1" s="1"/>
  <c r="K239" i="1"/>
  <c r="K243" i="1"/>
  <c r="N257" i="1"/>
  <c r="O274" i="1"/>
  <c r="P274" i="1" s="1"/>
  <c r="K274" i="1"/>
  <c r="K279" i="1"/>
  <c r="K19" i="1"/>
  <c r="K14" i="1"/>
  <c r="M19" i="1"/>
  <c r="N19" i="1" s="1"/>
  <c r="M31" i="1"/>
  <c r="N31" i="1" s="1"/>
  <c r="M43" i="1"/>
  <c r="N43" i="1" s="1"/>
  <c r="M55" i="1"/>
  <c r="N55" i="1" s="1"/>
  <c r="M67" i="1"/>
  <c r="N67" i="1" s="1"/>
  <c r="K86" i="1"/>
  <c r="M91" i="1"/>
  <c r="N91" i="1" s="1"/>
  <c r="K98" i="1"/>
  <c r="M103" i="1"/>
  <c r="N103" i="1" s="1"/>
  <c r="K110" i="1"/>
  <c r="M115" i="1"/>
  <c r="N115" i="1" s="1"/>
  <c r="M124" i="1"/>
  <c r="N124" i="1" s="1"/>
  <c r="M126" i="1"/>
  <c r="N126" i="1" s="1"/>
  <c r="M135" i="1"/>
  <c r="N135" i="1" s="1"/>
  <c r="K137" i="1"/>
  <c r="K146" i="1"/>
  <c r="K157" i="1"/>
  <c r="M167" i="1"/>
  <c r="N167" i="1" s="1"/>
  <c r="K167" i="1"/>
  <c r="K173" i="1"/>
  <c r="K175" i="1"/>
  <c r="K177" i="1"/>
  <c r="O179" i="1"/>
  <c r="P179" i="1" s="1"/>
  <c r="M198" i="1"/>
  <c r="N198" i="1" s="1"/>
  <c r="M202" i="1"/>
  <c r="N202" i="1" s="1"/>
  <c r="M215" i="1"/>
  <c r="N215" i="1" s="1"/>
  <c r="K215" i="1"/>
  <c r="K221" i="1"/>
  <c r="M223" i="1"/>
  <c r="N223" i="1" s="1"/>
  <c r="M228" i="1"/>
  <c r="N228" i="1" s="1"/>
  <c r="K228" i="1"/>
  <c r="K232" i="1"/>
  <c r="M243" i="1"/>
  <c r="N243" i="1" s="1"/>
  <c r="K250" i="1"/>
  <c r="M259" i="1"/>
  <c r="N259" i="1" s="1"/>
  <c r="O269" i="1"/>
  <c r="P269" i="1" s="1"/>
  <c r="M269" i="1"/>
  <c r="N269" i="1" s="1"/>
  <c r="O271" i="1"/>
  <c r="P271" i="1" s="1"/>
  <c r="P15" i="1"/>
  <c r="K2" i="1"/>
  <c r="M7" i="1"/>
  <c r="N7" i="1" s="1"/>
  <c r="K26" i="1"/>
  <c r="K38" i="1"/>
  <c r="K50" i="1"/>
  <c r="K62" i="1"/>
  <c r="K74" i="1"/>
  <c r="M79" i="1"/>
  <c r="N79" i="1" s="1"/>
  <c r="M2" i="1"/>
  <c r="N2" i="1" s="1"/>
  <c r="K9" i="1"/>
  <c r="M14" i="1"/>
  <c r="N14" i="1" s="1"/>
  <c r="K21" i="1"/>
  <c r="M26" i="1"/>
  <c r="N26" i="1" s="1"/>
  <c r="M38" i="1"/>
  <c r="N38" i="1" s="1"/>
  <c r="M50" i="1"/>
  <c r="N50" i="1" s="1"/>
  <c r="M62" i="1"/>
  <c r="N62" i="1" s="1"/>
  <c r="M74" i="1"/>
  <c r="N74" i="1" s="1"/>
  <c r="M86" i="1"/>
  <c r="N86" i="1" s="1"/>
  <c r="M98" i="1"/>
  <c r="N98" i="1" s="1"/>
  <c r="M110" i="1"/>
  <c r="N110" i="1" s="1"/>
  <c r="K117" i="1"/>
  <c r="M137" i="1"/>
  <c r="N137" i="1" s="1"/>
  <c r="M146" i="1"/>
  <c r="N146" i="1" s="1"/>
  <c r="K148" i="1"/>
  <c r="P153" i="1"/>
  <c r="O155" i="1"/>
  <c r="P155" i="1" s="1"/>
  <c r="M157" i="1"/>
  <c r="N157" i="1" s="1"/>
  <c r="P163" i="1"/>
  <c r="K171" i="1"/>
  <c r="M175" i="1"/>
  <c r="N175" i="1" s="1"/>
  <c r="M177" i="1"/>
  <c r="N177" i="1" s="1"/>
  <c r="P183" i="1"/>
  <c r="M192" i="1"/>
  <c r="N192" i="1" s="1"/>
  <c r="K196" i="1"/>
  <c r="O202" i="1"/>
  <c r="P202" i="1" s="1"/>
  <c r="P211" i="1"/>
  <c r="K219" i="1"/>
  <c r="O232" i="1"/>
  <c r="P232" i="1" s="1"/>
  <c r="P234" i="1"/>
  <c r="M250" i="1"/>
  <c r="N250" i="1" s="1"/>
  <c r="O255" i="1"/>
  <c r="P255" i="1" s="1"/>
  <c r="K257" i="1"/>
  <c r="O262" i="1"/>
  <c r="P262" i="1" s="1"/>
  <c r="K262" i="1"/>
  <c r="M274" i="1"/>
  <c r="N274" i="1" s="1"/>
  <c r="N280" i="1"/>
  <c r="N304" i="1"/>
  <c r="O31" i="1"/>
  <c r="P31" i="1" s="1"/>
  <c r="O43" i="1"/>
  <c r="P43" i="1" s="1"/>
  <c r="O55" i="1"/>
  <c r="P55" i="1" s="1"/>
  <c r="O126" i="1"/>
  <c r="P126" i="1" s="1"/>
  <c r="O173" i="1"/>
  <c r="P173" i="1" s="1"/>
  <c r="P177" i="1"/>
  <c r="O198" i="1"/>
  <c r="P198" i="1" s="1"/>
  <c r="O221" i="1"/>
  <c r="P221" i="1" s="1"/>
  <c r="O223" i="1"/>
  <c r="P223" i="1" s="1"/>
  <c r="K235" i="1"/>
  <c r="P250" i="1"/>
  <c r="O259" i="1"/>
  <c r="P259" i="1" s="1"/>
  <c r="M275" i="1"/>
  <c r="N275" i="1" s="1"/>
  <c r="K275" i="1"/>
  <c r="O283" i="1"/>
  <c r="P283" i="1" s="1"/>
  <c r="M283" i="1"/>
  <c r="N283" i="1" s="1"/>
  <c r="K283" i="1"/>
  <c r="O307" i="1"/>
  <c r="P307" i="1" s="1"/>
  <c r="M307" i="1"/>
  <c r="N307" i="1" s="1"/>
  <c r="K307" i="1"/>
  <c r="O310" i="1"/>
  <c r="P310" i="1" s="1"/>
  <c r="K310" i="1"/>
  <c r="O7" i="1"/>
  <c r="P7" i="1" s="1"/>
  <c r="O19" i="1"/>
  <c r="P19" i="1" s="1"/>
  <c r="O67" i="1"/>
  <c r="P67" i="1" s="1"/>
  <c r="O79" i="1"/>
  <c r="P79" i="1" s="1"/>
  <c r="O2" i="1"/>
  <c r="P2" i="1" s="1"/>
  <c r="M4" i="1"/>
  <c r="N4" i="1" s="1"/>
  <c r="O14" i="1"/>
  <c r="P14" i="1" s="1"/>
  <c r="M16" i="1"/>
  <c r="N16" i="1" s="1"/>
  <c r="O26" i="1"/>
  <c r="P26" i="1" s="1"/>
  <c r="M28" i="1"/>
  <c r="N28" i="1" s="1"/>
  <c r="O38" i="1"/>
  <c r="P38" i="1" s="1"/>
  <c r="M40" i="1"/>
  <c r="N40" i="1" s="1"/>
  <c r="O50" i="1"/>
  <c r="P50" i="1" s="1"/>
  <c r="M52" i="1"/>
  <c r="N52" i="1" s="1"/>
  <c r="O62" i="1"/>
  <c r="P62" i="1" s="1"/>
  <c r="M64" i="1"/>
  <c r="N64" i="1" s="1"/>
  <c r="O74" i="1"/>
  <c r="P74" i="1" s="1"/>
  <c r="M76" i="1"/>
  <c r="N76" i="1" s="1"/>
  <c r="O86" i="1"/>
  <c r="P86" i="1" s="1"/>
  <c r="M88" i="1"/>
  <c r="N88" i="1" s="1"/>
  <c r="O98" i="1"/>
  <c r="P98" i="1" s="1"/>
  <c r="M100" i="1"/>
  <c r="N100" i="1" s="1"/>
  <c r="O110" i="1"/>
  <c r="P110" i="1" s="1"/>
  <c r="M112" i="1"/>
  <c r="N112" i="1" s="1"/>
  <c r="M130" i="1"/>
  <c r="N130" i="1" s="1"/>
  <c r="O137" i="1"/>
  <c r="P137" i="1" s="1"/>
  <c r="O146" i="1"/>
  <c r="P146" i="1" s="1"/>
  <c r="O157" i="1"/>
  <c r="P157" i="1" s="1"/>
  <c r="M161" i="1"/>
  <c r="N161" i="1" s="1"/>
  <c r="O167" i="1"/>
  <c r="P167" i="1" s="1"/>
  <c r="O175" i="1"/>
  <c r="P175" i="1" s="1"/>
  <c r="M190" i="1"/>
  <c r="N190" i="1" s="1"/>
  <c r="O192" i="1"/>
  <c r="P192" i="1" s="1"/>
  <c r="M203" i="1"/>
  <c r="N203" i="1" s="1"/>
  <c r="K203" i="1"/>
  <c r="K209" i="1"/>
  <c r="O215" i="1"/>
  <c r="P215" i="1" s="1"/>
  <c r="O228" i="1"/>
  <c r="P228" i="1" s="1"/>
  <c r="N233" i="1"/>
  <c r="P239" i="1"/>
  <c r="M251" i="1"/>
  <c r="N251" i="1" s="1"/>
  <c r="K251" i="1"/>
  <c r="N262" i="1"/>
  <c r="O267" i="1"/>
  <c r="P267" i="1" s="1"/>
  <c r="M267" i="1"/>
  <c r="N267" i="1" s="1"/>
  <c r="O286" i="1"/>
  <c r="P286" i="1" s="1"/>
  <c r="K286" i="1"/>
  <c r="O295" i="1"/>
  <c r="P295" i="1" s="1"/>
  <c r="M295" i="1"/>
  <c r="N295" i="1" s="1"/>
  <c r="K295" i="1"/>
  <c r="O298" i="1"/>
  <c r="P298" i="1" s="1"/>
  <c r="K298" i="1"/>
  <c r="N324" i="1"/>
  <c r="P199" i="1"/>
  <c r="K207" i="1"/>
  <c r="K226" i="1"/>
  <c r="M235" i="1"/>
  <c r="N235" i="1" s="1"/>
  <c r="M240" i="1"/>
  <c r="N240" i="1" s="1"/>
  <c r="K240" i="1"/>
  <c r="K244" i="1"/>
  <c r="K270" i="1"/>
  <c r="M6" i="1"/>
  <c r="N6" i="1" s="1"/>
  <c r="M54" i="1"/>
  <c r="N54" i="1" s="1"/>
  <c r="M78" i="1"/>
  <c r="N78" i="1" s="1"/>
  <c r="M90" i="1"/>
  <c r="N90" i="1" s="1"/>
  <c r="M102" i="1"/>
  <c r="N102" i="1" s="1"/>
  <c r="M114" i="1"/>
  <c r="N114" i="1" s="1"/>
  <c r="P119" i="1"/>
  <c r="M123" i="1"/>
  <c r="N123" i="1" s="1"/>
  <c r="O130" i="1"/>
  <c r="P130" i="1" s="1"/>
  <c r="P150" i="1"/>
  <c r="M154" i="1"/>
  <c r="N154" i="1" s="1"/>
  <c r="P158" i="1"/>
  <c r="O161" i="1"/>
  <c r="P161" i="1" s="1"/>
  <c r="O184" i="1"/>
  <c r="P184" i="1" s="1"/>
  <c r="M207" i="1"/>
  <c r="N207" i="1" s="1"/>
  <c r="M226" i="1"/>
  <c r="N226" i="1" s="1"/>
  <c r="O231" i="1"/>
  <c r="P231" i="1" s="1"/>
  <c r="O244" i="1"/>
  <c r="P244" i="1" s="1"/>
  <c r="P246" i="1"/>
  <c r="M263" i="1"/>
  <c r="N263" i="1" s="1"/>
  <c r="K263" i="1"/>
  <c r="O275" i="1"/>
  <c r="P275" i="1" s="1"/>
  <c r="O281" i="1"/>
  <c r="P281" i="1" s="1"/>
  <c r="M281" i="1"/>
  <c r="N281" i="1" s="1"/>
  <c r="N286" i="1"/>
  <c r="M18" i="1"/>
  <c r="N18" i="1" s="1"/>
  <c r="M30" i="1"/>
  <c r="N30" i="1" s="1"/>
  <c r="M42" i="1"/>
  <c r="N42" i="1" s="1"/>
  <c r="K80" i="1"/>
  <c r="K92" i="1"/>
  <c r="K104" i="1"/>
  <c r="K116" i="1"/>
  <c r="K127" i="1"/>
  <c r="K136" i="1"/>
  <c r="O143" i="1"/>
  <c r="P143" i="1" s="1"/>
  <c r="K147" i="1"/>
  <c r="M174" i="1"/>
  <c r="N174" i="1" s="1"/>
  <c r="N178" i="1"/>
  <c r="O180" i="1"/>
  <c r="P180" i="1" s="1"/>
  <c r="M191" i="1"/>
  <c r="N191" i="1" s="1"/>
  <c r="K191" i="1"/>
  <c r="K197" i="1"/>
  <c r="K199" i="1"/>
  <c r="K201" i="1"/>
  <c r="M222" i="1"/>
  <c r="N222" i="1" s="1"/>
  <c r="P226" i="1"/>
  <c r="O235" i="1"/>
  <c r="P235" i="1" s="1"/>
  <c r="P247" i="1"/>
  <c r="K247" i="1"/>
  <c r="M258" i="1"/>
  <c r="N258" i="1" s="1"/>
  <c r="N260" i="1"/>
  <c r="M270" i="1"/>
  <c r="N270" i="1" s="1"/>
  <c r="M287" i="1"/>
  <c r="N287" i="1" s="1"/>
  <c r="K287" i="1"/>
  <c r="P287" i="1"/>
  <c r="M299" i="1"/>
  <c r="N299" i="1" s="1"/>
  <c r="K299" i="1"/>
  <c r="K32" i="1"/>
  <c r="K3" i="1"/>
  <c r="O6" i="1"/>
  <c r="P6" i="1" s="1"/>
  <c r="M20" i="1"/>
  <c r="N20" i="1" s="1"/>
  <c r="K39" i="1"/>
  <c r="O42" i="1"/>
  <c r="P42" i="1" s="1"/>
  <c r="M44" i="1"/>
  <c r="N44" i="1" s="1"/>
  <c r="K51" i="1"/>
  <c r="O54" i="1"/>
  <c r="P54" i="1" s="1"/>
  <c r="M56" i="1"/>
  <c r="N56" i="1" s="1"/>
  <c r="K63" i="1"/>
  <c r="O66" i="1"/>
  <c r="P66" i="1" s="1"/>
  <c r="M68" i="1"/>
  <c r="N68" i="1" s="1"/>
  <c r="K75" i="1"/>
  <c r="O78" i="1"/>
  <c r="P78" i="1" s="1"/>
  <c r="K87" i="1"/>
  <c r="O90" i="1"/>
  <c r="P90" i="1" s="1"/>
  <c r="K99" i="1"/>
  <c r="O102" i="1"/>
  <c r="P102" i="1" s="1"/>
  <c r="K111" i="1"/>
  <c r="O114" i="1"/>
  <c r="P114" i="1" s="1"/>
  <c r="K118" i="1"/>
  <c r="O123" i="1"/>
  <c r="P123" i="1" s="1"/>
  <c r="M136" i="1"/>
  <c r="N136" i="1" s="1"/>
  <c r="M138" i="1"/>
  <c r="N138" i="1" s="1"/>
  <c r="K149" i="1"/>
  <c r="O154" i="1"/>
  <c r="P154" i="1" s="1"/>
  <c r="K158" i="1"/>
  <c r="M168" i="1"/>
  <c r="N168" i="1" s="1"/>
  <c r="K172" i="1"/>
  <c r="O178" i="1"/>
  <c r="P178" i="1" s="1"/>
  <c r="P187" i="1"/>
  <c r="K195" i="1"/>
  <c r="M199" i="1"/>
  <c r="N199" i="1" s="1"/>
  <c r="M201" i="1"/>
  <c r="N201" i="1" s="1"/>
  <c r="P203" i="1"/>
  <c r="P207" i="1"/>
  <c r="M216" i="1"/>
  <c r="N216" i="1" s="1"/>
  <c r="K220" i="1"/>
  <c r="M227" i="1"/>
  <c r="N227" i="1" s="1"/>
  <c r="K227" i="1"/>
  <c r="K231" i="1"/>
  <c r="O240" i="1"/>
  <c r="P251" i="1"/>
  <c r="K281" i="1"/>
  <c r="M66" i="1"/>
  <c r="N66" i="1" s="1"/>
  <c r="K8" i="1"/>
  <c r="K15" i="1"/>
  <c r="O18" i="1"/>
  <c r="P18" i="1" s="1"/>
  <c r="K27" i="1"/>
  <c r="O30" i="1"/>
  <c r="P30" i="1" s="1"/>
  <c r="P122" i="1"/>
  <c r="K129" i="1"/>
  <c r="O134" i="1"/>
  <c r="P134" i="1" s="1"/>
  <c r="M158" i="1"/>
  <c r="N158" i="1" s="1"/>
  <c r="O172" i="1"/>
  <c r="P172" i="1" s="1"/>
  <c r="O174" i="1"/>
  <c r="P174" i="1" s="1"/>
  <c r="M195" i="1"/>
  <c r="N195" i="1" s="1"/>
  <c r="O197" i="1"/>
  <c r="P197" i="1" s="1"/>
  <c r="P201" i="1"/>
  <c r="K204" i="1"/>
  <c r="O220" i="1"/>
  <c r="P220" i="1" s="1"/>
  <c r="O222" i="1"/>
  <c r="P222" i="1" s="1"/>
  <c r="M231" i="1"/>
  <c r="N231" i="1" s="1"/>
  <c r="K238" i="1"/>
  <c r="P240" i="1"/>
  <c r="M247" i="1"/>
  <c r="N247" i="1" s="1"/>
  <c r="N249" i="1"/>
  <c r="M252" i="1"/>
  <c r="N252" i="1" s="1"/>
  <c r="K252" i="1"/>
  <c r="K256" i="1"/>
  <c r="O258" i="1"/>
  <c r="P258" i="1" s="1"/>
  <c r="O263" i="1"/>
  <c r="P263" i="1" s="1"/>
  <c r="O270" i="1"/>
  <c r="P270" i="1" s="1"/>
  <c r="O299" i="1"/>
  <c r="P299" i="1" s="1"/>
  <c r="N312" i="1"/>
  <c r="M318" i="1"/>
  <c r="N318" i="1" s="1"/>
  <c r="M330" i="1"/>
  <c r="N330" i="1" s="1"/>
  <c r="M342" i="1"/>
  <c r="N342" i="1" s="1"/>
  <c r="M354" i="1"/>
  <c r="N354" i="1" s="1"/>
  <c r="M368" i="1"/>
  <c r="N368" i="1" s="1"/>
  <c r="O377" i="1"/>
  <c r="P377" i="1" s="1"/>
  <c r="M390" i="1"/>
  <c r="N390" i="1" s="1"/>
  <c r="M399" i="1"/>
  <c r="N399" i="1" s="1"/>
  <c r="P421" i="1"/>
  <c r="K421" i="1"/>
  <c r="N430" i="1"/>
  <c r="P436" i="1"/>
  <c r="P457" i="1"/>
  <c r="K457" i="1"/>
  <c r="N482" i="1"/>
  <c r="K482" i="1"/>
  <c r="M437" i="1"/>
  <c r="N437" i="1" s="1"/>
  <c r="K437" i="1"/>
  <c r="P462" i="1"/>
  <c r="M462" i="1"/>
  <c r="N462" i="1" s="1"/>
  <c r="K462" i="1"/>
  <c r="K291" i="1"/>
  <c r="P311" i="1"/>
  <c r="P323" i="1"/>
  <c r="P335" i="1"/>
  <c r="P347" i="1"/>
  <c r="P359" i="1"/>
  <c r="P388" i="1"/>
  <c r="M426" i="1"/>
  <c r="N426" i="1" s="1"/>
  <c r="K426" i="1"/>
  <c r="O489" i="1"/>
  <c r="P489" i="1" s="1"/>
  <c r="M489" i="1"/>
  <c r="N489" i="1" s="1"/>
  <c r="K489" i="1"/>
  <c r="P282" i="1"/>
  <c r="M291" i="1"/>
  <c r="N291" i="1" s="1"/>
  <c r="P294" i="1"/>
  <c r="M303" i="1"/>
  <c r="N303" i="1" s="1"/>
  <c r="P306" i="1"/>
  <c r="M315" i="1"/>
  <c r="N315" i="1" s="1"/>
  <c r="P318" i="1"/>
  <c r="K322" i="1"/>
  <c r="M327" i="1"/>
  <c r="N327" i="1" s="1"/>
  <c r="P330" i="1"/>
  <c r="K334" i="1"/>
  <c r="M339" i="1"/>
  <c r="N339" i="1" s="1"/>
  <c r="P342" i="1"/>
  <c r="K346" i="1"/>
  <c r="M351" i="1"/>
  <c r="N351" i="1" s="1"/>
  <c r="P354" i="1"/>
  <c r="K358" i="1"/>
  <c r="M363" i="1"/>
  <c r="N363" i="1" s="1"/>
  <c r="M365" i="1"/>
  <c r="N365" i="1" s="1"/>
  <c r="M374" i="1"/>
  <c r="N374" i="1" s="1"/>
  <c r="K376" i="1"/>
  <c r="K385" i="1"/>
  <c r="K389" i="1"/>
  <c r="K396" i="1"/>
  <c r="M408" i="1"/>
  <c r="N408" i="1" s="1"/>
  <c r="M412" i="1"/>
  <c r="N412" i="1" s="1"/>
  <c r="O417" i="1"/>
  <c r="P417" i="1" s="1"/>
  <c r="K419" i="1"/>
  <c r="O430" i="1"/>
  <c r="P430" i="1" s="1"/>
  <c r="M448" i="1"/>
  <c r="N448" i="1" s="1"/>
  <c r="O453" i="1"/>
  <c r="P453" i="1" s="1"/>
  <c r="K455" i="1"/>
  <c r="O465" i="1"/>
  <c r="P465" i="1" s="1"/>
  <c r="K465" i="1"/>
  <c r="K470" i="1"/>
  <c r="K433" i="1"/>
  <c r="M473" i="1"/>
  <c r="N473" i="1" s="1"/>
  <c r="K473" i="1"/>
  <c r="O473" i="1"/>
  <c r="P473" i="1" s="1"/>
  <c r="K264" i="1"/>
  <c r="K276" i="1"/>
  <c r="K288" i="1"/>
  <c r="O291" i="1"/>
  <c r="P291" i="1" s="1"/>
  <c r="M293" i="1"/>
  <c r="N293" i="1" s="1"/>
  <c r="K300" i="1"/>
  <c r="O303" i="1"/>
  <c r="P303" i="1" s="1"/>
  <c r="M305" i="1"/>
  <c r="N305" i="1" s="1"/>
  <c r="K312" i="1"/>
  <c r="O315" i="1"/>
  <c r="P315" i="1" s="1"/>
  <c r="M317" i="1"/>
  <c r="N317" i="1" s="1"/>
  <c r="K324" i="1"/>
  <c r="O327" i="1"/>
  <c r="P327" i="1" s="1"/>
  <c r="M329" i="1"/>
  <c r="N329" i="1" s="1"/>
  <c r="K336" i="1"/>
  <c r="O339" i="1"/>
  <c r="P339" i="1" s="1"/>
  <c r="M341" i="1"/>
  <c r="N341" i="1" s="1"/>
  <c r="K348" i="1"/>
  <c r="O351" i="1"/>
  <c r="P351" i="1" s="1"/>
  <c r="M353" i="1"/>
  <c r="N353" i="1" s="1"/>
  <c r="K360" i="1"/>
  <c r="O365" i="1"/>
  <c r="P365" i="1" s="1"/>
  <c r="O374" i="1"/>
  <c r="P374" i="1" s="1"/>
  <c r="M378" i="1"/>
  <c r="N378" i="1" s="1"/>
  <c r="M387" i="1"/>
  <c r="N387" i="1" s="1"/>
  <c r="M389" i="1"/>
  <c r="N389" i="1" s="1"/>
  <c r="P394" i="1"/>
  <c r="M400" i="1"/>
  <c r="N400" i="1" s="1"/>
  <c r="K404" i="1"/>
  <c r="O406" i="1"/>
  <c r="P406" i="1" s="1"/>
  <c r="O408" i="1"/>
  <c r="P408" i="1" s="1"/>
  <c r="M413" i="1"/>
  <c r="N413" i="1" s="1"/>
  <c r="K413" i="1"/>
  <c r="K417" i="1"/>
  <c r="P419" i="1"/>
  <c r="O426" i="1"/>
  <c r="P426" i="1" s="1"/>
  <c r="N431" i="1"/>
  <c r="P437" i="1"/>
  <c r="M449" i="1"/>
  <c r="N449" i="1" s="1"/>
  <c r="K449" i="1"/>
  <c r="K453" i="1"/>
  <c r="P455" i="1"/>
  <c r="M465" i="1"/>
  <c r="N465" i="1" s="1"/>
  <c r="O322" i="1"/>
  <c r="P322" i="1" s="1"/>
  <c r="K331" i="1"/>
  <c r="O334" i="1"/>
  <c r="P334" i="1" s="1"/>
  <c r="K343" i="1"/>
  <c r="O346" i="1"/>
  <c r="P346" i="1" s="1"/>
  <c r="K355" i="1"/>
  <c r="O358" i="1"/>
  <c r="P358" i="1" s="1"/>
  <c r="K371" i="1"/>
  <c r="O376" i="1"/>
  <c r="P376" i="1" s="1"/>
  <c r="K380" i="1"/>
  <c r="O385" i="1"/>
  <c r="P385" i="1" s="1"/>
  <c r="O387" i="1"/>
  <c r="P387" i="1" s="1"/>
  <c r="O396" i="1"/>
  <c r="P396" i="1" s="1"/>
  <c r="O402" i="1"/>
  <c r="P402" i="1" s="1"/>
  <c r="K424" i="1"/>
  <c r="M433" i="1"/>
  <c r="N433" i="1" s="1"/>
  <c r="M438" i="1"/>
  <c r="N438" i="1" s="1"/>
  <c r="K438" i="1"/>
  <c r="K442" i="1"/>
  <c r="O444" i="1"/>
  <c r="P444" i="1" s="1"/>
  <c r="M453" i="1"/>
  <c r="N453" i="1" s="1"/>
  <c r="K460" i="1"/>
  <c r="M331" i="1"/>
  <c r="N331" i="1" s="1"/>
  <c r="M343" i="1"/>
  <c r="N343" i="1" s="1"/>
  <c r="M355" i="1"/>
  <c r="N355" i="1" s="1"/>
  <c r="M371" i="1"/>
  <c r="N371" i="1" s="1"/>
  <c r="M380" i="1"/>
  <c r="N380" i="1" s="1"/>
  <c r="O400" i="1"/>
  <c r="P400" i="1" s="1"/>
  <c r="P409" i="1"/>
  <c r="M424" i="1"/>
  <c r="N424" i="1" s="1"/>
  <c r="O429" i="1"/>
  <c r="P429" i="1" s="1"/>
  <c r="O442" i="1"/>
  <c r="P442" i="1" s="1"/>
  <c r="M460" i="1"/>
  <c r="N460" i="1" s="1"/>
  <c r="M466" i="1"/>
  <c r="N466" i="1" s="1"/>
  <c r="K466" i="1"/>
  <c r="M474" i="1"/>
  <c r="N474" i="1" s="1"/>
  <c r="K474" i="1"/>
  <c r="O477" i="1"/>
  <c r="P477" i="1" s="1"/>
  <c r="K477" i="1"/>
  <c r="P397" i="1"/>
  <c r="P424" i="1"/>
  <c r="O433" i="1"/>
  <c r="P433" i="1" s="1"/>
  <c r="P445" i="1"/>
  <c r="K445" i="1"/>
  <c r="P460" i="1"/>
  <c r="O331" i="1"/>
  <c r="P331" i="1" s="1"/>
  <c r="O343" i="1"/>
  <c r="P343" i="1" s="1"/>
  <c r="O355" i="1"/>
  <c r="P355" i="1" s="1"/>
  <c r="O371" i="1"/>
  <c r="P371" i="1" s="1"/>
  <c r="P380" i="1"/>
  <c r="M401" i="1"/>
  <c r="N401" i="1" s="1"/>
  <c r="K401" i="1"/>
  <c r="M425" i="1"/>
  <c r="N425" i="1" s="1"/>
  <c r="K425" i="1"/>
  <c r="K429" i="1"/>
  <c r="P434" i="1"/>
  <c r="M461" i="1"/>
  <c r="N461" i="1" s="1"/>
  <c r="K461" i="1"/>
  <c r="P461" i="1"/>
  <c r="O466" i="1"/>
  <c r="P466" i="1" s="1"/>
  <c r="O474" i="1"/>
  <c r="P474" i="1" s="1"/>
  <c r="M477" i="1"/>
  <c r="N477" i="1" s="1"/>
  <c r="O170" i="1"/>
  <c r="P170" i="1" s="1"/>
  <c r="O182" i="1"/>
  <c r="P182" i="1" s="1"/>
  <c r="O194" i="1"/>
  <c r="P194" i="1" s="1"/>
  <c r="O206" i="1"/>
  <c r="P206" i="1" s="1"/>
  <c r="O218" i="1"/>
  <c r="P218" i="1" s="1"/>
  <c r="O230" i="1"/>
  <c r="P230" i="1" s="1"/>
  <c r="O242" i="1"/>
  <c r="P242" i="1" s="1"/>
  <c r="O254" i="1"/>
  <c r="P254" i="1" s="1"/>
  <c r="O266" i="1"/>
  <c r="P266" i="1" s="1"/>
  <c r="O278" i="1"/>
  <c r="P278" i="1" s="1"/>
  <c r="O290" i="1"/>
  <c r="P290" i="1" s="1"/>
  <c r="O302" i="1"/>
  <c r="P302" i="1" s="1"/>
  <c r="K311" i="1"/>
  <c r="O314" i="1"/>
  <c r="P314" i="1" s="1"/>
  <c r="K323" i="1"/>
  <c r="O326" i="1"/>
  <c r="P326" i="1" s="1"/>
  <c r="K335" i="1"/>
  <c r="O338" i="1"/>
  <c r="P338" i="1" s="1"/>
  <c r="K347" i="1"/>
  <c r="O350" i="1"/>
  <c r="P350" i="1" s="1"/>
  <c r="K359" i="1"/>
  <c r="O362" i="1"/>
  <c r="P362" i="1" s="1"/>
  <c r="M375" i="1"/>
  <c r="N375" i="1" s="1"/>
  <c r="M377" i="1"/>
  <c r="N377" i="1" s="1"/>
  <c r="P382" i="1"/>
  <c r="K388" i="1"/>
  <c r="O393" i="1"/>
  <c r="P393" i="1" s="1"/>
  <c r="K397" i="1"/>
  <c r="K405" i="1"/>
  <c r="M409" i="1"/>
  <c r="N409" i="1" s="1"/>
  <c r="N411" i="1"/>
  <c r="M414" i="1"/>
  <c r="N414" i="1" s="1"/>
  <c r="K414" i="1"/>
  <c r="K418" i="1"/>
  <c r="O420" i="1"/>
  <c r="P420" i="1" s="1"/>
  <c r="M429" i="1"/>
  <c r="N429" i="1" s="1"/>
  <c r="K436" i="1"/>
  <c r="P438" i="1"/>
  <c r="M445" i="1"/>
  <c r="N445" i="1" s="1"/>
  <c r="M450" i="1"/>
  <c r="N450" i="1" s="1"/>
  <c r="K450" i="1"/>
  <c r="K454" i="1"/>
  <c r="O456" i="1"/>
  <c r="N471" i="1"/>
  <c r="K368" i="1"/>
  <c r="O373" i="1"/>
  <c r="P373" i="1" s="1"/>
  <c r="M397" i="1"/>
  <c r="N397" i="1" s="1"/>
  <c r="K399" i="1"/>
  <c r="M405" i="1"/>
  <c r="N405" i="1" s="1"/>
  <c r="O407" i="1"/>
  <c r="P407" i="1" s="1"/>
  <c r="O418" i="1"/>
  <c r="P418" i="1" s="1"/>
  <c r="M436" i="1"/>
  <c r="N436" i="1" s="1"/>
  <c r="O441" i="1"/>
  <c r="P441" i="1" s="1"/>
  <c r="K443" i="1"/>
  <c r="O454" i="1"/>
  <c r="P454" i="1" s="1"/>
  <c r="P456" i="1"/>
  <c r="O485" i="1"/>
  <c r="P485" i="1" s="1"/>
  <c r="K494" i="1"/>
  <c r="O497" i="1"/>
  <c r="P497" i="1" s="1"/>
  <c r="K506" i="1"/>
  <c r="O509" i="1"/>
  <c r="P509" i="1" s="1"/>
  <c r="K515" i="1"/>
  <c r="K517" i="1"/>
  <c r="P520" i="1"/>
  <c r="O522" i="1"/>
  <c r="P522" i="1" s="1"/>
  <c r="O468" i="1"/>
  <c r="P468" i="1" s="1"/>
  <c r="O480" i="1"/>
  <c r="P480" i="1" s="1"/>
  <c r="O492" i="1"/>
  <c r="P492" i="1" s="1"/>
  <c r="K501" i="1"/>
  <c r="O504" i="1"/>
  <c r="P504" i="1" s="1"/>
  <c r="O513" i="1"/>
  <c r="P513" i="1" s="1"/>
  <c r="M501" i="1"/>
  <c r="N501" i="1" s="1"/>
  <c r="M472" i="1"/>
  <c r="N472" i="1" s="1"/>
  <c r="M484" i="1"/>
  <c r="N484" i="1" s="1"/>
  <c r="M496" i="1"/>
  <c r="N496" i="1" s="1"/>
  <c r="M508" i="1"/>
  <c r="N508" i="1" s="1"/>
  <c r="M519" i="1"/>
  <c r="N519" i="1" s="1"/>
  <c r="K486" i="1"/>
  <c r="K498" i="1"/>
  <c r="O501" i="1"/>
  <c r="P501" i="1" s="1"/>
  <c r="K510" i="1"/>
  <c r="K523" i="1"/>
  <c r="K469" i="1"/>
  <c r="K481" i="1"/>
  <c r="O484" i="1"/>
  <c r="P484" i="1" s="1"/>
  <c r="M486" i="1"/>
  <c r="N486" i="1" s="1"/>
  <c r="K493" i="1"/>
  <c r="O496" i="1"/>
  <c r="P496" i="1" s="1"/>
  <c r="M498" i="1"/>
  <c r="N498" i="1" s="1"/>
  <c r="K505" i="1"/>
  <c r="O508" i="1"/>
  <c r="P508" i="1" s="1"/>
  <c r="M510" i="1"/>
  <c r="N510" i="1" s="1"/>
  <c r="K514" i="1"/>
  <c r="K516" i="1"/>
  <c r="O519" i="1"/>
  <c r="P519" i="1" s="1"/>
  <c r="O521" i="1"/>
  <c r="P521" i="1" s="1"/>
  <c r="M523" i="1"/>
  <c r="N523" i="1" s="1"/>
  <c r="M481" i="1"/>
  <c r="N481" i="1" s="1"/>
  <c r="M493" i="1"/>
  <c r="N493" i="1" s="1"/>
  <c r="M505" i="1"/>
  <c r="N505" i="1" s="1"/>
  <c r="M514" i="1"/>
  <c r="N514" i="1" s="1"/>
  <c r="M516" i="1"/>
  <c r="N516" i="1" s="1"/>
  <c r="O510" i="1"/>
  <c r="P510" i="1" s="1"/>
  <c r="O523" i="1"/>
  <c r="P523" i="1" s="1"/>
  <c r="O469" i="1"/>
  <c r="P469" i="1" s="1"/>
  <c r="K478" i="1"/>
  <c r="O481" i="1"/>
  <c r="P481" i="1" s="1"/>
  <c r="K490" i="1"/>
  <c r="O493" i="1"/>
  <c r="P493" i="1" s="1"/>
  <c r="K502" i="1"/>
  <c r="O505" i="1"/>
  <c r="P505" i="1" s="1"/>
  <c r="O514" i="1"/>
  <c r="P514" i="1" s="1"/>
  <c r="O516" i="1"/>
  <c r="P516" i="1" s="1"/>
  <c r="O404" i="1"/>
  <c r="P404" i="1" s="1"/>
  <c r="O416" i="1"/>
  <c r="P416" i="1" s="1"/>
  <c r="O428" i="1"/>
  <c r="P428" i="1" s="1"/>
  <c r="O440" i="1"/>
  <c r="P440" i="1" s="1"/>
  <c r="O452" i="1"/>
  <c r="P452" i="1" s="1"/>
  <c r="O464" i="1"/>
  <c r="P464" i="1" s="1"/>
  <c r="O476" i="1"/>
  <c r="P476" i="1" s="1"/>
  <c r="K485" i="1"/>
  <c r="O488" i="1"/>
  <c r="P488" i="1" s="1"/>
  <c r="K497" i="1"/>
  <c r="O500" i="1"/>
  <c r="P500" i="1" s="1"/>
  <c r="K509" i="1"/>
  <c r="O512" i="1"/>
  <c r="P512" i="1" s="1"/>
  <c r="K520" i="1"/>
  <c r="K522" i="1"/>
  <c r="M533" i="1"/>
  <c r="N533" i="1" s="1"/>
  <c r="K533" i="1"/>
  <c r="N572" i="1"/>
  <c r="O577" i="1"/>
  <c r="P577" i="1" s="1"/>
  <c r="M577" i="1"/>
  <c r="N577" i="1" s="1"/>
  <c r="O591" i="1"/>
  <c r="P591" i="1" s="1"/>
  <c r="M591" i="1"/>
  <c r="N591" i="1" s="1"/>
  <c r="N610" i="1"/>
  <c r="O615" i="1"/>
  <c r="P615" i="1" s="1"/>
  <c r="M615" i="1"/>
  <c r="N615" i="1" s="1"/>
  <c r="N622" i="1"/>
  <c r="P541" i="1"/>
  <c r="K594" i="1"/>
  <c r="M529" i="1"/>
  <c r="N529" i="1" s="1"/>
  <c r="K531" i="1"/>
  <c r="K537" i="1"/>
  <c r="M545" i="1"/>
  <c r="N545" i="1" s="1"/>
  <c r="K545" i="1"/>
  <c r="O562" i="1"/>
  <c r="P562" i="1" s="1"/>
  <c r="M568" i="1"/>
  <c r="N568" i="1" s="1"/>
  <c r="P582" i="1"/>
  <c r="O589" i="1"/>
  <c r="P589" i="1" s="1"/>
  <c r="M589" i="1"/>
  <c r="N589" i="1" s="1"/>
  <c r="O597" i="1"/>
  <c r="P597" i="1" s="1"/>
  <c r="K597" i="1"/>
  <c r="O628" i="1"/>
  <c r="P628" i="1" s="1"/>
  <c r="M628" i="1"/>
  <c r="N628" i="1" s="1"/>
  <c r="K628" i="1"/>
  <c r="M531" i="1"/>
  <c r="N531" i="1" s="1"/>
  <c r="O533" i="1"/>
  <c r="K541" i="1"/>
  <c r="P553" i="1"/>
  <c r="O564" i="1"/>
  <c r="P564" i="1" s="1"/>
  <c r="K573" i="1"/>
  <c r="P580" i="1"/>
  <c r="O587" i="1"/>
  <c r="P587" i="1" s="1"/>
  <c r="M587" i="1"/>
  <c r="N587" i="1" s="1"/>
  <c r="M594" i="1"/>
  <c r="N594" i="1" s="1"/>
  <c r="M605" i="1"/>
  <c r="N605" i="1" s="1"/>
  <c r="K605" i="1"/>
  <c r="P605" i="1"/>
  <c r="P616" i="1"/>
  <c r="M616" i="1"/>
  <c r="N616" i="1" s="1"/>
  <c r="K616" i="1"/>
  <c r="P531" i="1"/>
  <c r="P533" i="1"/>
  <c r="M541" i="1"/>
  <c r="N541" i="1" s="1"/>
  <c r="K543" i="1"/>
  <c r="K549" i="1"/>
  <c r="K551" i="1"/>
  <c r="M557" i="1"/>
  <c r="N557" i="1" s="1"/>
  <c r="K557" i="1"/>
  <c r="M573" i="1"/>
  <c r="N573" i="1" s="1"/>
  <c r="K582" i="1"/>
  <c r="N584" i="1"/>
  <c r="K589" i="1"/>
  <c r="P592" i="1"/>
  <c r="O594" i="1"/>
  <c r="P594" i="1" s="1"/>
  <c r="M597" i="1"/>
  <c r="N597" i="1" s="1"/>
  <c r="K602" i="1"/>
  <c r="O524" i="1"/>
  <c r="P524" i="1" s="1"/>
  <c r="N526" i="1"/>
  <c r="M569" i="1"/>
  <c r="N569" i="1" s="1"/>
  <c r="K569" i="1"/>
  <c r="M617" i="1"/>
  <c r="N617" i="1" s="1"/>
  <c r="K617" i="1"/>
  <c r="K524" i="1"/>
  <c r="K526" i="1"/>
  <c r="M528" i="1"/>
  <c r="N528" i="1" s="1"/>
  <c r="K532" i="1"/>
  <c r="K534" i="1"/>
  <c r="O536" i="1"/>
  <c r="P536" i="1" s="1"/>
  <c r="N538" i="1"/>
  <c r="O549" i="1"/>
  <c r="P549" i="1" s="1"/>
  <c r="O551" i="1"/>
  <c r="P551" i="1" s="1"/>
  <c r="M555" i="1"/>
  <c r="N555" i="1" s="1"/>
  <c r="O557" i="1"/>
  <c r="P557" i="1" s="1"/>
  <c r="K565" i="1"/>
  <c r="K585" i="1"/>
  <c r="M592" i="1"/>
  <c r="N592" i="1" s="1"/>
  <c r="N598" i="1"/>
  <c r="O603" i="1"/>
  <c r="P603" i="1" s="1"/>
  <c r="M603" i="1"/>
  <c r="N603" i="1" s="1"/>
  <c r="N608" i="1"/>
  <c r="M524" i="1"/>
  <c r="N524" i="1" s="1"/>
  <c r="O526" i="1"/>
  <c r="P526" i="1" s="1"/>
  <c r="M532" i="1"/>
  <c r="N532" i="1" s="1"/>
  <c r="M534" i="1"/>
  <c r="N534" i="1" s="1"/>
  <c r="M565" i="1"/>
  <c r="N565" i="1" s="1"/>
  <c r="K567" i="1"/>
  <c r="O569" i="1"/>
  <c r="P569" i="1" s="1"/>
  <c r="O580" i="1"/>
  <c r="M585" i="1"/>
  <c r="N585" i="1" s="1"/>
  <c r="O609" i="1"/>
  <c r="P609" i="1" s="1"/>
  <c r="M609" i="1"/>
  <c r="N609" i="1" s="1"/>
  <c r="K609" i="1"/>
  <c r="O617" i="1"/>
  <c r="P617" i="1" s="1"/>
  <c r="O528" i="1"/>
  <c r="P528" i="1" s="1"/>
  <c r="O548" i="1"/>
  <c r="P548" i="1" s="1"/>
  <c r="M567" i="1"/>
  <c r="N567" i="1" s="1"/>
  <c r="M581" i="1"/>
  <c r="N581" i="1" s="1"/>
  <c r="K581" i="1"/>
  <c r="M593" i="1"/>
  <c r="N593" i="1" s="1"/>
  <c r="K593" i="1"/>
  <c r="P593" i="1"/>
  <c r="N606" i="1"/>
  <c r="P618" i="1"/>
  <c r="N620" i="1"/>
  <c r="O532" i="1"/>
  <c r="P532" i="1" s="1"/>
  <c r="O534" i="1"/>
  <c r="P534" i="1" s="1"/>
  <c r="O565" i="1"/>
  <c r="P565" i="1" s="1"/>
  <c r="P567" i="1"/>
  <c r="P570" i="1"/>
  <c r="O572" i="1"/>
  <c r="P572" i="1" s="1"/>
  <c r="K572" i="1"/>
  <c r="P585" i="1"/>
  <c r="O601" i="1"/>
  <c r="P601" i="1" s="1"/>
  <c r="M601" i="1"/>
  <c r="N601" i="1" s="1"/>
  <c r="P529" i="1"/>
  <c r="O560" i="1"/>
  <c r="P560" i="1" s="1"/>
  <c r="O579" i="1"/>
  <c r="P579" i="1" s="1"/>
  <c r="M579" i="1"/>
  <c r="N579" i="1" s="1"/>
  <c r="P604" i="1"/>
  <c r="K604" i="1"/>
  <c r="P627" i="1"/>
  <c r="P652" i="1"/>
  <c r="O665" i="1"/>
  <c r="P665" i="1" s="1"/>
  <c r="O716" i="1"/>
  <c r="P716" i="1" s="1"/>
  <c r="K716" i="1"/>
  <c r="M689" i="1"/>
  <c r="N689" i="1" s="1"/>
  <c r="K689" i="1"/>
  <c r="M736" i="1"/>
  <c r="N736" i="1" s="1"/>
  <c r="K621" i="1"/>
  <c r="P629" i="1"/>
  <c r="K633" i="1"/>
  <c r="K642" i="1"/>
  <c r="P645" i="1"/>
  <c r="K651" i="1"/>
  <c r="K662" i="1"/>
  <c r="N675" i="1"/>
  <c r="K685" i="1"/>
  <c r="P702" i="1"/>
  <c r="M716" i="1"/>
  <c r="N716" i="1" s="1"/>
  <c r="K729" i="1"/>
  <c r="O748" i="1"/>
  <c r="P748" i="1" s="1"/>
  <c r="M748" i="1"/>
  <c r="N748" i="1" s="1"/>
  <c r="O764" i="1"/>
  <c r="P764" i="1" s="1"/>
  <c r="M764" i="1"/>
  <c r="N764" i="1" s="1"/>
  <c r="K764" i="1"/>
  <c r="M621" i="1"/>
  <c r="N621" i="1" s="1"/>
  <c r="M633" i="1"/>
  <c r="N633" i="1" s="1"/>
  <c r="M642" i="1"/>
  <c r="N642" i="1" s="1"/>
  <c r="M651" i="1"/>
  <c r="N651" i="1" s="1"/>
  <c r="M653" i="1"/>
  <c r="N653" i="1" s="1"/>
  <c r="M662" i="1"/>
  <c r="N662" i="1" s="1"/>
  <c r="K664" i="1"/>
  <c r="M685" i="1"/>
  <c r="N685" i="1" s="1"/>
  <c r="K687" i="1"/>
  <c r="K693" i="1"/>
  <c r="K695" i="1"/>
  <c r="M701" i="1"/>
  <c r="N701" i="1" s="1"/>
  <c r="K701" i="1"/>
  <c r="M725" i="1"/>
  <c r="N725" i="1" s="1"/>
  <c r="K725" i="1"/>
  <c r="M729" i="1"/>
  <c r="N729" i="1" s="1"/>
  <c r="K736" i="1"/>
  <c r="O651" i="1"/>
  <c r="P651" i="1" s="1"/>
  <c r="M664" i="1"/>
  <c r="N664" i="1" s="1"/>
  <c r="O668" i="1"/>
  <c r="P668" i="1" s="1"/>
  <c r="M687" i="1"/>
  <c r="N687" i="1" s="1"/>
  <c r="O689" i="1"/>
  <c r="P689" i="1" s="1"/>
  <c r="M693" i="1"/>
  <c r="N693" i="1" s="1"/>
  <c r="M695" i="1"/>
  <c r="N695" i="1" s="1"/>
  <c r="K697" i="1"/>
  <c r="M721" i="1"/>
  <c r="N721" i="1" s="1"/>
  <c r="K734" i="1"/>
  <c r="M765" i="1"/>
  <c r="N765" i="1" s="1"/>
  <c r="K765" i="1"/>
  <c r="M599" i="1"/>
  <c r="N599" i="1" s="1"/>
  <c r="K606" i="1"/>
  <c r="M611" i="1"/>
  <c r="N611" i="1" s="1"/>
  <c r="K618" i="1"/>
  <c r="M623" i="1"/>
  <c r="N623" i="1" s="1"/>
  <c r="K630" i="1"/>
  <c r="M635" i="1"/>
  <c r="N635" i="1" s="1"/>
  <c r="M644" i="1"/>
  <c r="N644" i="1" s="1"/>
  <c r="K646" i="1"/>
  <c r="O653" i="1"/>
  <c r="P653" i="1" s="1"/>
  <c r="K657" i="1"/>
  <c r="M666" i="1"/>
  <c r="N666" i="1" s="1"/>
  <c r="O685" i="1"/>
  <c r="P685" i="1" s="1"/>
  <c r="P687" i="1"/>
  <c r="K699" i="1"/>
  <c r="K705" i="1"/>
  <c r="K707" i="1"/>
  <c r="M713" i="1"/>
  <c r="N713" i="1" s="1"/>
  <c r="K713" i="1"/>
  <c r="O729" i="1"/>
  <c r="P729" i="1" s="1"/>
  <c r="O736" i="1"/>
  <c r="P736" i="1" s="1"/>
  <c r="O664" i="1"/>
  <c r="P664" i="1" s="1"/>
  <c r="O680" i="1"/>
  <c r="P680" i="1" s="1"/>
  <c r="O693" i="1"/>
  <c r="P693" i="1" s="1"/>
  <c r="O695" i="1"/>
  <c r="P695" i="1" s="1"/>
  <c r="M699" i="1"/>
  <c r="N699" i="1" s="1"/>
  <c r="O701" i="1"/>
  <c r="P701" i="1" s="1"/>
  <c r="M705" i="1"/>
  <c r="N705" i="1" s="1"/>
  <c r="M707" i="1"/>
  <c r="N707" i="1" s="1"/>
  <c r="K709" i="1"/>
  <c r="K717" i="1"/>
  <c r="K719" i="1"/>
  <c r="O725" i="1"/>
  <c r="P725" i="1" s="1"/>
  <c r="M737" i="1"/>
  <c r="N737" i="1" s="1"/>
  <c r="K737" i="1"/>
  <c r="O752" i="1"/>
  <c r="P752" i="1" s="1"/>
  <c r="M752" i="1"/>
  <c r="N752" i="1" s="1"/>
  <c r="K752" i="1"/>
  <c r="O765" i="1"/>
  <c r="P765" i="1" s="1"/>
  <c r="O772" i="1"/>
  <c r="P772" i="1" s="1"/>
  <c r="M772" i="1"/>
  <c r="N772" i="1" s="1"/>
  <c r="K772" i="1"/>
  <c r="K584" i="1"/>
  <c r="K596" i="1"/>
  <c r="K608" i="1"/>
  <c r="M613" i="1"/>
  <c r="N613" i="1" s="1"/>
  <c r="K620" i="1"/>
  <c r="M625" i="1"/>
  <c r="N625" i="1" s="1"/>
  <c r="K632" i="1"/>
  <c r="M637" i="1"/>
  <c r="N637" i="1" s="1"/>
  <c r="K639" i="1"/>
  <c r="P644" i="1"/>
  <c r="O646" i="1"/>
  <c r="P646" i="1" s="1"/>
  <c r="M648" i="1"/>
  <c r="N648" i="1" s="1"/>
  <c r="K650" i="1"/>
  <c r="M659" i="1"/>
  <c r="N659" i="1" s="1"/>
  <c r="M668" i="1"/>
  <c r="N668" i="1" s="1"/>
  <c r="O670" i="1"/>
  <c r="P670" i="1" s="1"/>
  <c r="M676" i="1"/>
  <c r="N676" i="1" s="1"/>
  <c r="M678" i="1"/>
  <c r="N678" i="1" s="1"/>
  <c r="O697" i="1"/>
  <c r="P697" i="1" s="1"/>
  <c r="P699" i="1"/>
  <c r="M709" i="1"/>
  <c r="N709" i="1" s="1"/>
  <c r="K711" i="1"/>
  <c r="M717" i="1"/>
  <c r="N717" i="1" s="1"/>
  <c r="M719" i="1"/>
  <c r="N719" i="1" s="1"/>
  <c r="M723" i="1"/>
  <c r="N723" i="1" s="1"/>
  <c r="N730" i="1"/>
  <c r="O740" i="1"/>
  <c r="P740" i="1" s="1"/>
  <c r="M740" i="1"/>
  <c r="N740" i="1" s="1"/>
  <c r="K740" i="1"/>
  <c r="N743" i="1"/>
  <c r="O692" i="1"/>
  <c r="P692" i="1" s="1"/>
  <c r="O705" i="1"/>
  <c r="P705" i="1" s="1"/>
  <c r="O707" i="1"/>
  <c r="P707" i="1" s="1"/>
  <c r="N711" i="1"/>
  <c r="O721" i="1"/>
  <c r="P721" i="1" s="1"/>
  <c r="P723" i="1"/>
  <c r="M753" i="1"/>
  <c r="N753" i="1" s="1"/>
  <c r="K753" i="1"/>
  <c r="K574" i="1"/>
  <c r="K586" i="1"/>
  <c r="K598" i="1"/>
  <c r="K610" i="1"/>
  <c r="O613" i="1"/>
  <c r="P613" i="1" s="1"/>
  <c r="K622" i="1"/>
  <c r="O625" i="1"/>
  <c r="P625" i="1" s="1"/>
  <c r="M627" i="1"/>
  <c r="N627" i="1" s="1"/>
  <c r="O637" i="1"/>
  <c r="P637" i="1" s="1"/>
  <c r="O639" i="1"/>
  <c r="P639" i="1" s="1"/>
  <c r="O648" i="1"/>
  <c r="P648" i="1" s="1"/>
  <c r="M652" i="1"/>
  <c r="N652" i="1" s="1"/>
  <c r="K654" i="1"/>
  <c r="O659" i="1"/>
  <c r="P659" i="1" s="1"/>
  <c r="M661" i="1"/>
  <c r="N661" i="1" s="1"/>
  <c r="P672" i="1"/>
  <c r="O676" i="1"/>
  <c r="P676" i="1" s="1"/>
  <c r="O678" i="1"/>
  <c r="P678" i="1" s="1"/>
  <c r="M680" i="1"/>
  <c r="N680" i="1" s="1"/>
  <c r="O682" i="1"/>
  <c r="P682" i="1" s="1"/>
  <c r="M688" i="1"/>
  <c r="N688" i="1" s="1"/>
  <c r="M690" i="1"/>
  <c r="N690" i="1" s="1"/>
  <c r="O709" i="1"/>
  <c r="P709" i="1" s="1"/>
  <c r="P711" i="1"/>
  <c r="P713" i="1"/>
  <c r="O717" i="1"/>
  <c r="P717" i="1" s="1"/>
  <c r="P719" i="1"/>
  <c r="P724" i="1"/>
  <c r="O728" i="1"/>
  <c r="P728" i="1" s="1"/>
  <c r="K728" i="1"/>
  <c r="O735" i="1"/>
  <c r="P735" i="1" s="1"/>
  <c r="M735" i="1"/>
  <c r="N735" i="1" s="1"/>
  <c r="O737" i="1"/>
  <c r="P737" i="1" s="1"/>
  <c r="P741" i="1"/>
  <c r="K741" i="1"/>
  <c r="O584" i="1"/>
  <c r="P584" i="1" s="1"/>
  <c r="O596" i="1"/>
  <c r="P596" i="1" s="1"/>
  <c r="O608" i="1"/>
  <c r="P608" i="1" s="1"/>
  <c r="O620" i="1"/>
  <c r="P620" i="1" s="1"/>
  <c r="K629" i="1"/>
  <c r="O632" i="1"/>
  <c r="P632" i="1" s="1"/>
  <c r="O641" i="1"/>
  <c r="K645" i="1"/>
  <c r="O650" i="1"/>
  <c r="P650" i="1" s="1"/>
  <c r="M663" i="1"/>
  <c r="N663" i="1" s="1"/>
  <c r="M665" i="1"/>
  <c r="N665" i="1" s="1"/>
  <c r="P673" i="1"/>
  <c r="O684" i="1"/>
  <c r="P684" i="1" s="1"/>
  <c r="K692" i="1"/>
  <c r="K694" i="1"/>
  <c r="M696" i="1"/>
  <c r="N696" i="1" s="1"/>
  <c r="K700" i="1"/>
  <c r="K702" i="1"/>
  <c r="O704" i="1"/>
  <c r="P704" i="1" s="1"/>
  <c r="K726" i="1"/>
  <c r="O738" i="1"/>
  <c r="P738" i="1" s="1"/>
  <c r="O750" i="1"/>
  <c r="P750" i="1" s="1"/>
  <c r="M750" i="1"/>
  <c r="N750" i="1" s="1"/>
  <c r="O753" i="1"/>
  <c r="P753" i="1" s="1"/>
  <c r="P641" i="1"/>
  <c r="P649" i="1"/>
  <c r="K656" i="1"/>
  <c r="O661" i="1"/>
  <c r="P661" i="1" s="1"/>
  <c r="M677" i="1"/>
  <c r="N677" i="1" s="1"/>
  <c r="K677" i="1"/>
  <c r="M692" i="1"/>
  <c r="N692" i="1" s="1"/>
  <c r="O694" i="1"/>
  <c r="P694" i="1" s="1"/>
  <c r="N718" i="1"/>
  <c r="K724" i="1"/>
  <c r="M728" i="1"/>
  <c r="N728" i="1" s="1"/>
  <c r="O731" i="1"/>
  <c r="P731" i="1" s="1"/>
  <c r="K731" i="1"/>
  <c r="K735" i="1"/>
  <c r="M741" i="1"/>
  <c r="N741" i="1" s="1"/>
  <c r="O760" i="1"/>
  <c r="P760" i="1" s="1"/>
  <c r="M760" i="1"/>
  <c r="N760" i="1" s="1"/>
  <c r="K760" i="1"/>
  <c r="K789" i="1"/>
  <c r="K793" i="1"/>
  <c r="N806" i="1"/>
  <c r="O833" i="1"/>
  <c r="P833" i="1" s="1"/>
  <c r="K833" i="1"/>
  <c r="O841" i="1"/>
  <c r="P841" i="1" s="1"/>
  <c r="K841" i="1"/>
  <c r="O850" i="1"/>
  <c r="P850" i="1" s="1"/>
  <c r="M850" i="1"/>
  <c r="N850" i="1" s="1"/>
  <c r="K850" i="1"/>
  <c r="O853" i="1"/>
  <c r="P853" i="1" s="1"/>
  <c r="K853" i="1"/>
  <c r="O970" i="1"/>
  <c r="P970" i="1" s="1"/>
  <c r="M970" i="1"/>
  <c r="N970" i="1" s="1"/>
  <c r="K970" i="1"/>
  <c r="M813" i="1"/>
  <c r="N813" i="1" s="1"/>
  <c r="K813" i="1"/>
  <c r="M825" i="1"/>
  <c r="N825" i="1" s="1"/>
  <c r="K825" i="1"/>
  <c r="P761" i="1"/>
  <c r="P773" i="1"/>
  <c r="K777" i="1"/>
  <c r="P785" i="1"/>
  <c r="M789" i="1"/>
  <c r="N789" i="1" s="1"/>
  <c r="M793" i="1"/>
  <c r="N793" i="1" s="1"/>
  <c r="N795" i="1"/>
  <c r="K806" i="1"/>
  <c r="M833" i="1"/>
  <c r="N833" i="1" s="1"/>
  <c r="M841" i="1"/>
  <c r="N841" i="1" s="1"/>
  <c r="M853" i="1"/>
  <c r="N853" i="1" s="1"/>
  <c r="M777" i="1"/>
  <c r="N777" i="1" s="1"/>
  <c r="K784" i="1"/>
  <c r="N791" i="1"/>
  <c r="O806" i="1"/>
  <c r="P806" i="1" s="1"/>
  <c r="K818" i="1"/>
  <c r="K854" i="1"/>
  <c r="M854" i="1"/>
  <c r="N854" i="1" s="1"/>
  <c r="O874" i="1"/>
  <c r="P874" i="1" s="1"/>
  <c r="M874" i="1"/>
  <c r="N874" i="1" s="1"/>
  <c r="K874" i="1"/>
  <c r="O898" i="1"/>
  <c r="P898" i="1" s="1"/>
  <c r="M898" i="1"/>
  <c r="N898" i="1" s="1"/>
  <c r="K898" i="1"/>
  <c r="O922" i="1"/>
  <c r="P922" i="1" s="1"/>
  <c r="M922" i="1"/>
  <c r="N922" i="1" s="1"/>
  <c r="K922" i="1"/>
  <c r="O958" i="1"/>
  <c r="P958" i="1" s="1"/>
  <c r="M958" i="1"/>
  <c r="N958" i="1" s="1"/>
  <c r="K958" i="1"/>
  <c r="K743" i="1"/>
  <c r="K755" i="1"/>
  <c r="K767" i="1"/>
  <c r="K779" i="1"/>
  <c r="M784" i="1"/>
  <c r="N784" i="1" s="1"/>
  <c r="O789" i="1"/>
  <c r="P789" i="1" s="1"/>
  <c r="O793" i="1"/>
  <c r="P793" i="1" s="1"/>
  <c r="K809" i="1"/>
  <c r="P809" i="1"/>
  <c r="O813" i="1"/>
  <c r="P813" i="1" s="1"/>
  <c r="O818" i="1"/>
  <c r="P818" i="1" s="1"/>
  <c r="O825" i="1"/>
  <c r="P825" i="1" s="1"/>
  <c r="K842" i="1"/>
  <c r="P842" i="1"/>
  <c r="M842" i="1"/>
  <c r="N842" i="1" s="1"/>
  <c r="O845" i="1"/>
  <c r="P845" i="1" s="1"/>
  <c r="K845" i="1"/>
  <c r="N867" i="1"/>
  <c r="N891" i="1"/>
  <c r="N915" i="1"/>
  <c r="M814" i="1"/>
  <c r="N814" i="1" s="1"/>
  <c r="K814" i="1"/>
  <c r="O821" i="1"/>
  <c r="P821" i="1" s="1"/>
  <c r="K821" i="1"/>
  <c r="M826" i="1"/>
  <c r="N826" i="1" s="1"/>
  <c r="K826" i="1"/>
  <c r="O854" i="1"/>
  <c r="P854" i="1" s="1"/>
  <c r="M762" i="1"/>
  <c r="N762" i="1" s="1"/>
  <c r="M774" i="1"/>
  <c r="N774" i="1" s="1"/>
  <c r="O784" i="1"/>
  <c r="P784" i="1" s="1"/>
  <c r="M786" i="1"/>
  <c r="N786" i="1" s="1"/>
  <c r="N939" i="1"/>
  <c r="M733" i="1"/>
  <c r="N733" i="1" s="1"/>
  <c r="O743" i="1"/>
  <c r="P743" i="1" s="1"/>
  <c r="M745" i="1"/>
  <c r="N745" i="1" s="1"/>
  <c r="O755" i="1"/>
  <c r="P755" i="1" s="1"/>
  <c r="M757" i="1"/>
  <c r="N757" i="1" s="1"/>
  <c r="O767" i="1"/>
  <c r="P767" i="1" s="1"/>
  <c r="M769" i="1"/>
  <c r="N769" i="1" s="1"/>
  <c r="K776" i="1"/>
  <c r="O779" i="1"/>
  <c r="P779" i="1" s="1"/>
  <c r="M781" i="1"/>
  <c r="N781" i="1" s="1"/>
  <c r="K788" i="1"/>
  <c r="K790" i="1"/>
  <c r="K794" i="1"/>
  <c r="K796" i="1"/>
  <c r="M800" i="1"/>
  <c r="N800" i="1" s="1"/>
  <c r="O802" i="1"/>
  <c r="P802" i="1" s="1"/>
  <c r="M821" i="1"/>
  <c r="N821" i="1" s="1"/>
  <c r="O829" i="1"/>
  <c r="P829" i="1" s="1"/>
  <c r="K829" i="1"/>
  <c r="O837" i="1"/>
  <c r="P837" i="1" s="1"/>
  <c r="M837" i="1"/>
  <c r="N837" i="1" s="1"/>
  <c r="K837" i="1"/>
  <c r="O946" i="1"/>
  <c r="P946" i="1" s="1"/>
  <c r="M946" i="1"/>
  <c r="N946" i="1" s="1"/>
  <c r="K946" i="1"/>
  <c r="N975" i="1"/>
  <c r="K747" i="1"/>
  <c r="K759" i="1"/>
  <c r="O762" i="1"/>
  <c r="P762" i="1" s="1"/>
  <c r="K771" i="1"/>
  <c r="O774" i="1"/>
  <c r="P774" i="1" s="1"/>
  <c r="M776" i="1"/>
  <c r="N776" i="1" s="1"/>
  <c r="K783" i="1"/>
  <c r="O786" i="1"/>
  <c r="P786" i="1" s="1"/>
  <c r="M788" i="1"/>
  <c r="N788" i="1" s="1"/>
  <c r="M790" i="1"/>
  <c r="N790" i="1" s="1"/>
  <c r="K792" i="1"/>
  <c r="M796" i="1"/>
  <c r="N796" i="1" s="1"/>
  <c r="O805" i="1"/>
  <c r="P805" i="1" s="1"/>
  <c r="K805" i="1"/>
  <c r="N807" i="1"/>
  <c r="O814" i="1"/>
  <c r="P814" i="1" s="1"/>
  <c r="O826" i="1"/>
  <c r="P826" i="1" s="1"/>
  <c r="O865" i="1"/>
  <c r="P865" i="1" s="1"/>
  <c r="K865" i="1"/>
  <c r="O733" i="1"/>
  <c r="P733" i="1" s="1"/>
  <c r="O745" i="1"/>
  <c r="P745" i="1" s="1"/>
  <c r="M747" i="1"/>
  <c r="N747" i="1" s="1"/>
  <c r="O757" i="1"/>
  <c r="P757" i="1" s="1"/>
  <c r="M759" i="1"/>
  <c r="N759" i="1" s="1"/>
  <c r="O769" i="1"/>
  <c r="P769" i="1" s="1"/>
  <c r="M771" i="1"/>
  <c r="N771" i="1" s="1"/>
  <c r="O781" i="1"/>
  <c r="P781" i="1" s="1"/>
  <c r="M783" i="1"/>
  <c r="N783" i="1" s="1"/>
  <c r="M792" i="1"/>
  <c r="N792" i="1" s="1"/>
  <c r="O794" i="1"/>
  <c r="P794" i="1" s="1"/>
  <c r="P810" i="1"/>
  <c r="O817" i="1"/>
  <c r="P817" i="1" s="1"/>
  <c r="K817" i="1"/>
  <c r="P822" i="1"/>
  <c r="O862" i="1"/>
  <c r="P862" i="1" s="1"/>
  <c r="M862" i="1"/>
  <c r="N862" i="1" s="1"/>
  <c r="K862" i="1"/>
  <c r="O886" i="1"/>
  <c r="P886" i="1" s="1"/>
  <c r="M886" i="1"/>
  <c r="N886" i="1" s="1"/>
  <c r="K886" i="1"/>
  <c r="O910" i="1"/>
  <c r="P910" i="1" s="1"/>
  <c r="M910" i="1"/>
  <c r="N910" i="1" s="1"/>
  <c r="K910" i="1"/>
  <c r="O982" i="1"/>
  <c r="P982" i="1" s="1"/>
  <c r="M982" i="1"/>
  <c r="N982" i="1" s="1"/>
  <c r="K982" i="1"/>
  <c r="K749" i="1"/>
  <c r="K761" i="1"/>
  <c r="K773" i="1"/>
  <c r="O776" i="1"/>
  <c r="P776" i="1" s="1"/>
  <c r="K785" i="1"/>
  <c r="O788" i="1"/>
  <c r="P788" i="1" s="1"/>
  <c r="O790" i="1"/>
  <c r="P790" i="1" s="1"/>
  <c r="P796" i="1"/>
  <c r="P801" i="1"/>
  <c r="K801" i="1"/>
  <c r="M805" i="1"/>
  <c r="N805" i="1" s="1"/>
  <c r="K812" i="1"/>
  <c r="K824" i="1"/>
  <c r="P838" i="1"/>
  <c r="M838" i="1"/>
  <c r="N838" i="1" s="1"/>
  <c r="K838" i="1"/>
  <c r="N843" i="1"/>
  <c r="M865" i="1"/>
  <c r="N865" i="1" s="1"/>
  <c r="N879" i="1"/>
  <c r="N903" i="1"/>
  <c r="N927" i="1"/>
  <c r="N963" i="1"/>
  <c r="P792" i="1"/>
  <c r="K797" i="1"/>
  <c r="O808" i="1"/>
  <c r="P808" i="1" s="1"/>
  <c r="K808" i="1"/>
  <c r="M812" i="1"/>
  <c r="N812" i="1" s="1"/>
  <c r="M817" i="1"/>
  <c r="N817" i="1" s="1"/>
  <c r="M824" i="1"/>
  <c r="N824" i="1" s="1"/>
  <c r="K830" i="1"/>
  <c r="P830" i="1"/>
  <c r="M830" i="1"/>
  <c r="N830" i="1" s="1"/>
  <c r="N835" i="1"/>
  <c r="O934" i="1"/>
  <c r="P934" i="1" s="1"/>
  <c r="M934" i="1"/>
  <c r="N934" i="1" s="1"/>
  <c r="K934" i="1"/>
  <c r="O804" i="1"/>
  <c r="P804" i="1" s="1"/>
  <c r="O816" i="1"/>
  <c r="P816" i="1" s="1"/>
  <c r="O828" i="1"/>
  <c r="P828" i="1" s="1"/>
  <c r="O840" i="1"/>
  <c r="P840" i="1" s="1"/>
  <c r="K849" i="1"/>
  <c r="O852" i="1"/>
  <c r="P852" i="1" s="1"/>
  <c r="P857" i="1"/>
  <c r="K861" i="1"/>
  <c r="O864" i="1"/>
  <c r="P864" i="1" s="1"/>
  <c r="M866" i="1"/>
  <c r="N866" i="1" s="1"/>
  <c r="P869" i="1"/>
  <c r="K873" i="1"/>
  <c r="M878" i="1"/>
  <c r="N878" i="1" s="1"/>
  <c r="P881" i="1"/>
  <c r="K885" i="1"/>
  <c r="M890" i="1"/>
  <c r="N890" i="1" s="1"/>
  <c r="P893" i="1"/>
  <c r="K897" i="1"/>
  <c r="O900" i="1"/>
  <c r="P900" i="1" s="1"/>
  <c r="M902" i="1"/>
  <c r="N902" i="1" s="1"/>
  <c r="P905" i="1"/>
  <c r="K909" i="1"/>
  <c r="O912" i="1"/>
  <c r="P912" i="1" s="1"/>
  <c r="M914" i="1"/>
  <c r="N914" i="1" s="1"/>
  <c r="P917" i="1"/>
  <c r="K921" i="1"/>
  <c r="O924" i="1"/>
  <c r="P924" i="1" s="1"/>
  <c r="M926" i="1"/>
  <c r="N926" i="1" s="1"/>
  <c r="P929" i="1"/>
  <c r="K933" i="1"/>
  <c r="O936" i="1"/>
  <c r="P936" i="1" s="1"/>
  <c r="M938" i="1"/>
  <c r="N938" i="1" s="1"/>
  <c r="P941" i="1"/>
  <c r="K945" i="1"/>
  <c r="O948" i="1"/>
  <c r="P948" i="1" s="1"/>
  <c r="M950" i="1"/>
  <c r="N950" i="1" s="1"/>
  <c r="P953" i="1"/>
  <c r="K957" i="1"/>
  <c r="O960" i="1"/>
  <c r="P960" i="1" s="1"/>
  <c r="M962" i="1"/>
  <c r="N962" i="1" s="1"/>
  <c r="P965" i="1"/>
  <c r="K969" i="1"/>
  <c r="O972" i="1"/>
  <c r="P972" i="1" s="1"/>
  <c r="P977" i="1"/>
  <c r="K981" i="1"/>
  <c r="O984" i="1"/>
  <c r="P984" i="1" s="1"/>
  <c r="P989" i="1"/>
  <c r="K820" i="1"/>
  <c r="K832" i="1"/>
  <c r="K844" i="1"/>
  <c r="M849" i="1"/>
  <c r="N849" i="1" s="1"/>
  <c r="K856" i="1"/>
  <c r="M861" i="1"/>
  <c r="N861" i="1" s="1"/>
  <c r="K868" i="1"/>
  <c r="M873" i="1"/>
  <c r="N873" i="1" s="1"/>
  <c r="K880" i="1"/>
  <c r="M885" i="1"/>
  <c r="N885" i="1" s="1"/>
  <c r="K892" i="1"/>
  <c r="M897" i="1"/>
  <c r="N897" i="1" s="1"/>
  <c r="K904" i="1"/>
  <c r="M909" i="1"/>
  <c r="N909" i="1" s="1"/>
  <c r="K916" i="1"/>
  <c r="M921" i="1"/>
  <c r="N921" i="1" s="1"/>
  <c r="K928" i="1"/>
  <c r="M933" i="1"/>
  <c r="N933" i="1" s="1"/>
  <c r="K940" i="1"/>
  <c r="M945" i="1"/>
  <c r="N945" i="1" s="1"/>
  <c r="K952" i="1"/>
  <c r="M957" i="1"/>
  <c r="N957" i="1" s="1"/>
  <c r="K964" i="1"/>
  <c r="M969" i="1"/>
  <c r="N969" i="1" s="1"/>
  <c r="K976" i="1"/>
  <c r="M981" i="1"/>
  <c r="N981" i="1" s="1"/>
  <c r="K988" i="1"/>
  <c r="O849" i="1"/>
  <c r="P849" i="1" s="1"/>
  <c r="O861" i="1"/>
  <c r="P861" i="1" s="1"/>
  <c r="P866" i="1"/>
  <c r="O873" i="1"/>
  <c r="P873" i="1" s="1"/>
  <c r="P878" i="1"/>
  <c r="O885" i="1"/>
  <c r="P885" i="1" s="1"/>
  <c r="P890" i="1"/>
  <c r="O897" i="1"/>
  <c r="P897" i="1" s="1"/>
  <c r="P902" i="1"/>
  <c r="O909" i="1"/>
  <c r="P909" i="1" s="1"/>
  <c r="P914" i="1"/>
  <c r="O921" i="1"/>
  <c r="P921" i="1" s="1"/>
  <c r="P926" i="1"/>
  <c r="O933" i="1"/>
  <c r="P933" i="1" s="1"/>
  <c r="P938" i="1"/>
  <c r="O945" i="1"/>
  <c r="P945" i="1" s="1"/>
  <c r="O957" i="1"/>
  <c r="P957" i="1" s="1"/>
  <c r="M810" i="1"/>
  <c r="N810" i="1" s="1"/>
  <c r="M822" i="1"/>
  <c r="N822" i="1" s="1"/>
  <c r="M834" i="1"/>
  <c r="N834" i="1" s="1"/>
  <c r="M846" i="1"/>
  <c r="N846" i="1" s="1"/>
  <c r="M858" i="1"/>
  <c r="N858" i="1" s="1"/>
  <c r="M870" i="1"/>
  <c r="N870" i="1" s="1"/>
  <c r="K877" i="1"/>
  <c r="M882" i="1"/>
  <c r="N882" i="1" s="1"/>
  <c r="K889" i="1"/>
  <c r="M894" i="1"/>
  <c r="N894" i="1" s="1"/>
  <c r="K901" i="1"/>
  <c r="M906" i="1"/>
  <c r="N906" i="1" s="1"/>
  <c r="K913" i="1"/>
  <c r="M918" i="1"/>
  <c r="N918" i="1" s="1"/>
  <c r="K925" i="1"/>
  <c r="M930" i="1"/>
  <c r="N930" i="1" s="1"/>
  <c r="K937" i="1"/>
  <c r="M942" i="1"/>
  <c r="N942" i="1" s="1"/>
  <c r="K949" i="1"/>
  <c r="M954" i="1"/>
  <c r="N954" i="1" s="1"/>
  <c r="K961" i="1"/>
  <c r="M966" i="1"/>
  <c r="N966" i="1" s="1"/>
  <c r="K973" i="1"/>
  <c r="M978" i="1"/>
  <c r="N978" i="1" s="1"/>
  <c r="K985" i="1"/>
  <c r="O988" i="1"/>
  <c r="P988" i="1" s="1"/>
  <c r="O877" i="1"/>
  <c r="P877" i="1" s="1"/>
  <c r="O889" i="1"/>
  <c r="P889" i="1" s="1"/>
  <c r="O901" i="1"/>
  <c r="P901" i="1" s="1"/>
  <c r="O913" i="1"/>
  <c r="P913" i="1" s="1"/>
  <c r="O925" i="1"/>
  <c r="P925" i="1" s="1"/>
  <c r="O937" i="1"/>
  <c r="P937" i="1" s="1"/>
  <c r="O949" i="1"/>
  <c r="P949" i="1" s="1"/>
  <c r="O961" i="1"/>
  <c r="P961" i="1" s="1"/>
  <c r="O973" i="1"/>
  <c r="P973" i="1" s="1"/>
  <c r="O985" i="1"/>
  <c r="P985" i="1" s="1"/>
  <c r="K857" i="1"/>
  <c r="K869" i="1"/>
  <c r="K881" i="1"/>
  <c r="K893" i="1"/>
  <c r="K905" i="1"/>
  <c r="K917" i="1"/>
  <c r="K929" i="1"/>
  <c r="O932" i="1"/>
  <c r="P932" i="1" s="1"/>
  <c r="K941" i="1"/>
  <c r="O944" i="1"/>
  <c r="P944" i="1" s="1"/>
  <c r="K953" i="1"/>
  <c r="O956" i="1"/>
  <c r="P956" i="1" s="1"/>
  <c r="K965" i="1"/>
  <c r="O968" i="1"/>
  <c r="P968" i="1" s="1"/>
  <c r="K977" i="1"/>
  <c r="O980" i="1"/>
  <c r="P980" i="1" s="1"/>
  <c r="K989" i="1"/>
  <c r="M869" i="1"/>
  <c r="N869" i="1" s="1"/>
  <c r="M881" i="1"/>
  <c r="N881" i="1" s="1"/>
  <c r="M893" i="1"/>
  <c r="N893" i="1" s="1"/>
  <c r="M905" i="1"/>
  <c r="N905" i="1" s="1"/>
  <c r="M917" i="1"/>
  <c r="N917" i="1" s="1"/>
  <c r="M929" i="1"/>
  <c r="N929" i="1" s="1"/>
  <c r="M941" i="1"/>
  <c r="N941" i="1" s="1"/>
  <c r="M953" i="1"/>
  <c r="N953" i="1" s="1"/>
  <c r="M965" i="1"/>
  <c r="N965" i="1" s="1"/>
  <c r="M977" i="1"/>
  <c r="N977" i="1" s="1"/>
  <c r="O987" i="1"/>
  <c r="P987" i="1" s="1"/>
  <c r="M989" i="1"/>
  <c r="N989" i="1" s="1"/>
</calcChain>
</file>

<file path=xl/sharedStrings.xml><?xml version="1.0" encoding="utf-8"?>
<sst xmlns="http://schemas.openxmlformats.org/spreadsheetml/2006/main" count="6306" uniqueCount="3457">
  <si>
    <t>LINE 1</t>
  </si>
  <si>
    <t>LINE2</t>
  </si>
  <si>
    <t>LINE3</t>
  </si>
  <si>
    <t>LINE4</t>
  </si>
  <si>
    <t>Column1</t>
  </si>
  <si>
    <t>SPONSOR</t>
  </si>
  <si>
    <t>INDEX</t>
  </si>
  <si>
    <t>ID SIDE</t>
  </si>
  <si>
    <t>ID ROW</t>
  </si>
  <si>
    <t>ID POS</t>
  </si>
  <si>
    <t>DESIGNATOR</t>
  </si>
  <si>
    <t>ACT SD</t>
  </si>
  <si>
    <t>ACT ROW</t>
  </si>
  <si>
    <t>ACT LOCATION</t>
  </si>
  <si>
    <t>SECT</t>
  </si>
  <si>
    <t>SECT ROW</t>
  </si>
  <si>
    <t>ASHLEIGH K DONOVAN</t>
  </si>
  <si>
    <t>SR AIRMAN USAF</t>
  </si>
  <si>
    <t>GUAM 2009 - PRESENT</t>
  </si>
  <si>
    <t>THANK YOU FOR SERVING</t>
  </si>
  <si>
    <t>Jerry and Missy Donovan</t>
  </si>
  <si>
    <t>S1</t>
  </si>
  <si>
    <t>RS</t>
  </si>
  <si>
    <t>WAYNE A DADETTO</t>
  </si>
  <si>
    <t>SGM US ARMY</t>
  </si>
  <si>
    <t>SPECIAL OPERATIONS</t>
  </si>
  <si>
    <t>DELTA FORCE</t>
  </si>
  <si>
    <t>Wayne and Pam Dadetto</t>
  </si>
  <si>
    <t>DADETTO FAMILY</t>
  </si>
  <si>
    <t>WW I &amp; II,KOREA,VIETNAM</t>
  </si>
  <si>
    <t>PANAMA, DESERT STORM</t>
  </si>
  <si>
    <t>WAR ON TERRORISM</t>
  </si>
  <si>
    <t>TACTICAL SUPPORT</t>
  </si>
  <si>
    <t>EQUIPMENT INC</t>
  </si>
  <si>
    <t>IN HONOR OF THOSE WHO</t>
  </si>
  <si>
    <t>SERVED OUR NATION</t>
  </si>
  <si>
    <t>Tactical Support Equipment Inc</t>
  </si>
  <si>
    <t>T.M MARTIN, JR.</t>
  </si>
  <si>
    <t>USMC 4TH MARINES</t>
  </si>
  <si>
    <t>PURPLE HEART IWO JIMA</t>
  </si>
  <si>
    <t>SEMPER FI</t>
  </si>
  <si>
    <t>Tom and Fran Martin</t>
  </si>
  <si>
    <t>LEBLANC FAMILY</t>
  </si>
  <si>
    <t>IN HONOR OF</t>
  </si>
  <si>
    <t>BEBOP &amp; GRAMPY KIP</t>
  </si>
  <si>
    <t>Robert LeBlanc</t>
  </si>
  <si>
    <t>JAMES A SMITH III</t>
  </si>
  <si>
    <t>MAJOR USA MEDICAL</t>
  </si>
  <si>
    <t>VIETNAM 1969-1971</t>
  </si>
  <si>
    <t>Ruth D. Smith</t>
  </si>
  <si>
    <t>OUR FATHER</t>
  </si>
  <si>
    <t>E.E. FOLK</t>
  </si>
  <si>
    <t>WORLD WAR II</t>
  </si>
  <si>
    <t>NORTH AFRICA, ITALY</t>
  </si>
  <si>
    <t>Russell Folk</t>
  </si>
  <si>
    <t>SFC LARRY D. CLEARY</t>
  </si>
  <si>
    <t>USA 1956-1977</t>
  </si>
  <si>
    <t>VIETNAM 1955-1977</t>
  </si>
  <si>
    <t>Larry D. Cleary</t>
  </si>
  <si>
    <t>COLONEL WILLIE L GORE</t>
  </si>
  <si>
    <t>US ARMY 1965-1993</t>
  </si>
  <si>
    <t>VIETNAM 1968</t>
  </si>
  <si>
    <t>C 5/7 CAV</t>
  </si>
  <si>
    <t>Col. Willie L. Gore</t>
  </si>
  <si>
    <t>JOHN F LEWIS JR</t>
  </si>
  <si>
    <t>CAPT USMC</t>
  </si>
  <si>
    <t>1966-1969</t>
  </si>
  <si>
    <t>VIETNAM</t>
  </si>
  <si>
    <t>John F. Lewis, Jr.</t>
  </si>
  <si>
    <t>LARRY A KELLY</t>
  </si>
  <si>
    <t>COLONEL USA</t>
  </si>
  <si>
    <t>1968-1994</t>
  </si>
  <si>
    <t>Larry and Patti Kelly</t>
  </si>
  <si>
    <t>LESTER A KELLY JR.</t>
  </si>
  <si>
    <t>SSG - USA</t>
  </si>
  <si>
    <t>1941-1944</t>
  </si>
  <si>
    <t>DUANE D STEWART</t>
  </si>
  <si>
    <t>TSGT - USAF</t>
  </si>
  <si>
    <t>1952-1962</t>
  </si>
  <si>
    <t>WILLIAM H PRICE JR</t>
  </si>
  <si>
    <t>US NAVY SEABEES</t>
  </si>
  <si>
    <t>VIETNAM  1967 - 1968</t>
  </si>
  <si>
    <t>Bill Price</t>
  </si>
  <si>
    <t>RICHARD GALLOTTA</t>
  </si>
  <si>
    <t>CAPT, USN 1956 - 1984</t>
  </si>
  <si>
    <t>VIETNAM COLDWAR</t>
  </si>
  <si>
    <t>R. Gallotta</t>
  </si>
  <si>
    <t>GOD BLESS AND PROTECT</t>
  </si>
  <si>
    <t>ALL WHO SERVE</t>
  </si>
  <si>
    <t>JIM - KATHY CONTE</t>
  </si>
  <si>
    <t>Jim Conte</t>
  </si>
  <si>
    <t>BOB HILINSKI  US ARMY</t>
  </si>
  <si>
    <t>MARK HILINSKI  USAF</t>
  </si>
  <si>
    <t>JOE HILINSKI  US ARMY</t>
  </si>
  <si>
    <t>BUD SCHULTZE  US ARMY</t>
  </si>
  <si>
    <t>R. Hilinski</t>
  </si>
  <si>
    <t>LCDR TDE MARTIN</t>
  </si>
  <si>
    <t>USNR  WW II</t>
  </si>
  <si>
    <t>1902 - 1978</t>
  </si>
  <si>
    <t>Keith D. Martin</t>
  </si>
  <si>
    <t>OPERATION AT EASE</t>
  </si>
  <si>
    <t>EXPRESSING OUR</t>
  </si>
  <si>
    <t>GRATITUDE</t>
  </si>
  <si>
    <t>Operation At Ease</t>
  </si>
  <si>
    <t>PETER &amp; JUDY BERG</t>
  </si>
  <si>
    <t>THANK YOU</t>
  </si>
  <si>
    <t>FOR YOUR SERVICE</t>
  </si>
  <si>
    <t>Peter and Judy Berg</t>
  </si>
  <si>
    <t>BILL WEILAND</t>
  </si>
  <si>
    <t>MAJOR USAF RET</t>
  </si>
  <si>
    <t>FEB 1955 TO OCT 1980</t>
  </si>
  <si>
    <t>Bill Weiland</t>
  </si>
  <si>
    <t>BILL HOGAN</t>
  </si>
  <si>
    <t>SGT USMC</t>
  </si>
  <si>
    <t>Bill Hogan</t>
  </si>
  <si>
    <t>DONALD G HOGAN</t>
  </si>
  <si>
    <t>SSGT  ARMY AIR CORPS</t>
  </si>
  <si>
    <t>WW II</t>
  </si>
  <si>
    <t>Donald Hogan</t>
  </si>
  <si>
    <t>CHARLES D. JOYCE JR.</t>
  </si>
  <si>
    <t>USN  WW II</t>
  </si>
  <si>
    <t>RACHEL M. JOYCE</t>
  </si>
  <si>
    <t>PENTAGON  WW 11</t>
  </si>
  <si>
    <t>Charles D. Joyce III</t>
  </si>
  <si>
    <t>SGT PAUL G SAZANI</t>
  </si>
  <si>
    <t>UNITED STATES ARMY</t>
  </si>
  <si>
    <t>VIETNAM VET</t>
  </si>
  <si>
    <t>1968 - 1970</t>
  </si>
  <si>
    <t>Paul G. Sazani</t>
  </si>
  <si>
    <t>TAXPRO OF SOUTHPORT</t>
  </si>
  <si>
    <t>IN HONOR OF ALL</t>
  </si>
  <si>
    <t>WHO SERVED OUR</t>
  </si>
  <si>
    <t>GREAT NATION</t>
  </si>
  <si>
    <t>Taxpro of Southport</t>
  </si>
  <si>
    <t>CORP ED BALDZICKI</t>
  </si>
  <si>
    <t>312TH BOMBARDMENT GRP</t>
  </si>
  <si>
    <t>US ARMY  WW II</t>
  </si>
  <si>
    <t>Ed Baldzicki</t>
  </si>
  <si>
    <t>COL CHUCK AKSTIN USMC</t>
  </si>
  <si>
    <t>1966 - 1993</t>
  </si>
  <si>
    <t>THANK YOU TO ALL VETS</t>
  </si>
  <si>
    <t>SEMPER FIDELIS</t>
  </si>
  <si>
    <t>Chuck and Pat Akstin</t>
  </si>
  <si>
    <t>IN LOVING MEMORY OF</t>
  </si>
  <si>
    <t>LTCOL A A AKSTIN USMC</t>
  </si>
  <si>
    <t>1941 - 1964</t>
  </si>
  <si>
    <t>WW II - KOREA</t>
  </si>
  <si>
    <t>MARINE CAPTAINS</t>
  </si>
  <si>
    <t>JORDAN &amp; AMY MEADS</t>
  </si>
  <si>
    <t>COL JOCK C LINDSAY</t>
  </si>
  <si>
    <t>US ARMY</t>
  </si>
  <si>
    <t>Jock C. Lindsay</t>
  </si>
  <si>
    <t>SK2 SAM SICILIANO</t>
  </si>
  <si>
    <t>US NAVY SUPPLY</t>
  </si>
  <si>
    <t>DANANG, VIETNAM  68-69</t>
  </si>
  <si>
    <t>Sam Siciliano</t>
  </si>
  <si>
    <t>BOB &amp; PATTIE ACCORDINO</t>
  </si>
  <si>
    <t>IN MEMORY OF OUR DADS</t>
  </si>
  <si>
    <t>NUNZIO &amp; THOMAS</t>
  </si>
  <si>
    <t>Bob and Pattie Accordino</t>
  </si>
  <si>
    <t>MEMORY OF</t>
  </si>
  <si>
    <t>CAPT RICHARD RUECKEL</t>
  </si>
  <si>
    <t>US  ARMY  WW II</t>
  </si>
  <si>
    <t>Wallace Rueckel</t>
  </si>
  <si>
    <t>RUECKEL FAMILY</t>
  </si>
  <si>
    <t>IN MEMORY OF</t>
  </si>
  <si>
    <t>ALL WHO SERVED</t>
  </si>
  <si>
    <t>BULLFROG CORNER</t>
  </si>
  <si>
    <t>WHO SERVED IN WW II</t>
  </si>
  <si>
    <t>DEFENDING OUR FREEDOM</t>
  </si>
  <si>
    <t>Bullfrog Corner</t>
  </si>
  <si>
    <t>ERNEST LONG</t>
  </si>
  <si>
    <t>MY WONDERFUL FATHER</t>
  </si>
  <si>
    <t>LEE LONG  USN WW II</t>
  </si>
  <si>
    <t>Ernest Long</t>
  </si>
  <si>
    <t>IN REMEMBRANCE OF</t>
  </si>
  <si>
    <t>THOSE WHO SERVED</t>
  </si>
  <si>
    <t>THE FARINA FAMILY</t>
  </si>
  <si>
    <t>Joseph and Ann Farina</t>
  </si>
  <si>
    <t>RD2 GEORGE BELGER USN</t>
  </si>
  <si>
    <t>1957 - 1961</t>
  </si>
  <si>
    <t>JOSEPH TAUSSIG</t>
  </si>
  <si>
    <t>DE-1030</t>
  </si>
  <si>
    <t>George Belger</t>
  </si>
  <si>
    <t>WILLIAM E MORTENSEN</t>
  </si>
  <si>
    <t>LTG US ARMY</t>
  </si>
  <si>
    <t>1973 - 2008</t>
  </si>
  <si>
    <t>Bill Mortensen</t>
  </si>
  <si>
    <t>DAVID J CHESNUT</t>
  </si>
  <si>
    <t>LTCOL USAF</t>
  </si>
  <si>
    <t>1968 - 1989</t>
  </si>
  <si>
    <t>David J. Chestnut</t>
  </si>
  <si>
    <t>PFC JAMES E CHESNUT</t>
  </si>
  <si>
    <t>USA WW II</t>
  </si>
  <si>
    <t>IN MEMORY OF OUR</t>
  </si>
  <si>
    <t>FATHER</t>
  </si>
  <si>
    <t>WARREN L CHEEK</t>
  </si>
  <si>
    <t>US NAVY - KOREA</t>
  </si>
  <si>
    <t>1949 - 1955</t>
  </si>
  <si>
    <t>Warren L. Cheek</t>
  </si>
  <si>
    <t>ALBERT MATTEOTTI</t>
  </si>
  <si>
    <t>INJURED 1944</t>
  </si>
  <si>
    <t>WW II FRANCE</t>
  </si>
  <si>
    <t>Dennis Matteotti</t>
  </si>
  <si>
    <t>HONORING</t>
  </si>
  <si>
    <t>GILBERT HARPER</t>
  </si>
  <si>
    <t>AND ALL OTHERS</t>
  </si>
  <si>
    <t>WHO HAVE SERVED</t>
  </si>
  <si>
    <t>Gilbert D. and Judith Harper</t>
  </si>
  <si>
    <t>GILBERT D HARPER</t>
  </si>
  <si>
    <t>1942 - 1946</t>
  </si>
  <si>
    <t>US NAVY  WW II</t>
  </si>
  <si>
    <t>CHOPKO-SALMI FAMILY</t>
  </si>
  <si>
    <t>THANKS TO ALL</t>
  </si>
  <si>
    <t>WHO SERVED</t>
  </si>
  <si>
    <t>Carolyn and Paul Chopko</t>
  </si>
  <si>
    <t>BLESS OUR VETS</t>
  </si>
  <si>
    <t>LT RICHARD A LOEHR</t>
  </si>
  <si>
    <t>USA  VIETNAM</t>
  </si>
  <si>
    <t>1970 MACV</t>
  </si>
  <si>
    <t>Richard Loehr</t>
  </si>
  <si>
    <t>STEVE CHILDERS</t>
  </si>
  <si>
    <t>MIKE KILROY AND</t>
  </si>
  <si>
    <t>HUNTER SHOTWELL</t>
  </si>
  <si>
    <t>Jack Riceman</t>
  </si>
  <si>
    <t>OUR WW II ARMY FATHERS</t>
  </si>
  <si>
    <t>SR THOMAS GRIZZARD</t>
  </si>
  <si>
    <t>CAPT WM W ALLEN, JR</t>
  </si>
  <si>
    <t>SILVER STAR  1944</t>
  </si>
  <si>
    <t>William W. Allen</t>
  </si>
  <si>
    <t>BILL AND DONNA CLUSE</t>
  </si>
  <si>
    <t>THOMAS H AMOS</t>
  </si>
  <si>
    <t>MAJOR USAF VIETNAM</t>
  </si>
  <si>
    <t>Bill and Donna Cluse</t>
  </si>
  <si>
    <t>TO ALL WHO SERVED</t>
  </si>
  <si>
    <t>THANKS</t>
  </si>
  <si>
    <t xml:space="preserve">JAN AND DIANE	</t>
  </si>
  <si>
    <t>CALHOUN</t>
  </si>
  <si>
    <t>Jan and Diane Calhoun</t>
  </si>
  <si>
    <t>FREDERICK J AMENT</t>
  </si>
  <si>
    <t>JOHN E MATTER</t>
  </si>
  <si>
    <t>WW II VETERANS</t>
  </si>
  <si>
    <t>John R. and Barbara Matter</t>
  </si>
  <si>
    <t>ANTHONY P SIMONELLI</t>
  </si>
  <si>
    <t>1943 - 194+  US ARMY</t>
  </si>
  <si>
    <t>WW II CRYPTOGRAPH TECH</t>
  </si>
  <si>
    <t>Tony Simonelli</t>
  </si>
  <si>
    <t>CHARLES P BRIS-BOIS</t>
  </si>
  <si>
    <t>THANKS, DAD</t>
  </si>
  <si>
    <t>Doug Bris-Bois</t>
  </si>
  <si>
    <t>VETERANS</t>
  </si>
  <si>
    <t>CHRIS &amp; MARY PAGE</t>
  </si>
  <si>
    <t>Chris and Mary Page</t>
  </si>
  <si>
    <t>SP4 RICHARD GODBOUT</t>
  </si>
  <si>
    <t>1966 - 1968 USA</t>
  </si>
  <si>
    <t>MEDIC  VIETNAM</t>
  </si>
  <si>
    <t>IN HONOR OF OUR DAD</t>
  </si>
  <si>
    <t>Donna Godbout</t>
  </si>
  <si>
    <t>CPT MONTE G RAY</t>
  </si>
  <si>
    <t>VIETNAM  1966 - 1967</t>
  </si>
  <si>
    <t>Phyllis Ray</t>
  </si>
  <si>
    <t>SSGT HARRY W KOVAL</t>
  </si>
  <si>
    <t>USAF - KOREAN WAR</t>
  </si>
  <si>
    <t>1931 - 2011</t>
  </si>
  <si>
    <t>IN MEMORY OF OUR DAD</t>
  </si>
  <si>
    <t>Mark K. Koval</t>
  </si>
  <si>
    <t>ROBERT E PEARSALL JR</t>
  </si>
  <si>
    <t>USS HAWKINS DD-873</t>
  </si>
  <si>
    <t>USN VIETNAM ERA</t>
  </si>
  <si>
    <t>Robert E. Pearsall</t>
  </si>
  <si>
    <t>ROBERT E PEARSALL SR</t>
  </si>
  <si>
    <t>USS BLUE DD-744</t>
  </si>
  <si>
    <t>USN WORLD WAR II</t>
  </si>
  <si>
    <t>HERBERT K HULSE SR</t>
  </si>
  <si>
    <t>USS BAYFIELD PA-33</t>
  </si>
  <si>
    <t>USCG WORLD WAR II</t>
  </si>
  <si>
    <t>DAVID AND SHARI KELLY</t>
  </si>
  <si>
    <t>David and Shari Kelly</t>
  </si>
  <si>
    <t>WALTER FEGAN USNR</t>
  </si>
  <si>
    <t>1942 - 1945</t>
  </si>
  <si>
    <t>MICHAEL FEGAN USMCR</t>
  </si>
  <si>
    <t>1966 - 1968</t>
  </si>
  <si>
    <t>Mike Fegan</t>
  </si>
  <si>
    <t>CHARLES E NICHOLAS</t>
  </si>
  <si>
    <t>COLONEL USMC</t>
  </si>
  <si>
    <t>KOREA, VIETNAM</t>
  </si>
  <si>
    <t>Chris Nicholas</t>
  </si>
  <si>
    <t>PAUL LOWE FOSTER</t>
  </si>
  <si>
    <t>REAR ADMIRAL USN</t>
  </si>
  <si>
    <t>Paul and Corolyn Foster</t>
  </si>
  <si>
    <t>PAUL FREDERICK FOSTER</t>
  </si>
  <si>
    <t>VICE ADMIRAL USN</t>
  </si>
  <si>
    <t>VERA CRUZ, WW I, WW II</t>
  </si>
  <si>
    <t>HM3 ROBERT C BOGGS</t>
  </si>
  <si>
    <t>USN FMF</t>
  </si>
  <si>
    <t>1948 - 1952</t>
  </si>
  <si>
    <t>KOREA</t>
  </si>
  <si>
    <t>Robert C. Boggs</t>
  </si>
  <si>
    <t>MAJ ANDREW OLMSTED</t>
  </si>
  <si>
    <t>1993 - 2008 IRAQ WAR</t>
  </si>
  <si>
    <t>IN MEMORY OF ANDY</t>
  </si>
  <si>
    <t>Gayle and Chad Mitchell</t>
  </si>
  <si>
    <t>JOSEPH A APICELLA</t>
  </si>
  <si>
    <t>SP5  USA</t>
  </si>
  <si>
    <t>Joseph A. Apicella</t>
  </si>
  <si>
    <t>COL JOHN H BAUMAN</t>
  </si>
  <si>
    <t>1969 - 2000 USAR</t>
  </si>
  <si>
    <t>John Bauman</t>
  </si>
  <si>
    <t>CHARLES A SCHWEITZER</t>
  </si>
  <si>
    <t>USCG  WW II</t>
  </si>
  <si>
    <t>Beth and Matt Nilsen</t>
  </si>
  <si>
    <t>SGT ALFRED KERN</t>
  </si>
  <si>
    <t>US ARMY AIR CORPS WW II</t>
  </si>
  <si>
    <t>BELOVED SOLDIER</t>
  </si>
  <si>
    <t>HUSBAND TEACHER DAD</t>
  </si>
  <si>
    <t>Pam Quinn</t>
  </si>
  <si>
    <t>WILLIAM A WILSON, JR</t>
  </si>
  <si>
    <t>USAF DFC,  3 AIR MEDALS</t>
  </si>
  <si>
    <t>WW II, KOREA, VIETNAM</t>
  </si>
  <si>
    <t>Bob and Linda Wilson</t>
  </si>
  <si>
    <t>ROBERT J MALCOLM</t>
  </si>
  <si>
    <t>TORPEDO MAN 1st CLASS</t>
  </si>
  <si>
    <t>SOUTH PACIFIC</t>
  </si>
  <si>
    <t>Janice DeSarno</t>
  </si>
  <si>
    <t>WILLIAM C SMITH</t>
  </si>
  <si>
    <t>SGT VIETNAM USA</t>
  </si>
  <si>
    <t>Lori J. Smith</t>
  </si>
  <si>
    <t>MICHAEL R ZEIGLER</t>
  </si>
  <si>
    <t>SSGT US ARMY WW II</t>
  </si>
  <si>
    <t>THANK YOU FOR YOUR</t>
  </si>
  <si>
    <t>SERVICE DAD</t>
  </si>
  <si>
    <t>Mike and Mary Zeigler</t>
  </si>
  <si>
    <t>FRANCIS J CAREY</t>
  </si>
  <si>
    <t>DIONISIOS FOTINATOS</t>
  </si>
  <si>
    <t>WW II 82ND AIRBORNE</t>
  </si>
  <si>
    <t>PARATROOPER OSS</t>
  </si>
  <si>
    <t>Diana Fotinatos</t>
  </si>
  <si>
    <t>ALLEN C ABBOTT</t>
  </si>
  <si>
    <t>USMC</t>
  </si>
  <si>
    <t>IN MEMORY OF MY</t>
  </si>
  <si>
    <t>BELOVED HUSBAND</t>
  </si>
  <si>
    <t>Lorrie Abbott</t>
  </si>
  <si>
    <t>W CABELL RIVES III</t>
  </si>
  <si>
    <t>Linda Rives</t>
  </si>
  <si>
    <t>SP4 LEONARD C MUUSS</t>
  </si>
  <si>
    <t>US ARMY 1959 - 1962</t>
  </si>
  <si>
    <t>A GREAT BROTHER</t>
  </si>
  <si>
    <t>John Muuss</t>
  </si>
  <si>
    <t>SP/4 JOHN MUUSS</t>
  </si>
  <si>
    <t>US ARMY  1959 - 1962</t>
  </si>
  <si>
    <t>AMERICAN LEGION</t>
  </si>
  <si>
    <t>POST 543 ST JAMES NC</t>
  </si>
  <si>
    <t>MAJOR WILLIAM P</t>
  </si>
  <si>
    <t>BITTENBENDER  US ARMY</t>
  </si>
  <si>
    <t>Bill and Pat Bittenbender</t>
  </si>
  <si>
    <t>LIEUTENANT GORDON B.</t>
  </si>
  <si>
    <t>BROWN   US NAVY</t>
  </si>
  <si>
    <t>JAMES PC SOUTHALL</t>
  </si>
  <si>
    <t>James P. Southall</t>
  </si>
  <si>
    <t>JAMES A. DONNELLY</t>
  </si>
  <si>
    <t>1955 - 1958</t>
  </si>
  <si>
    <t>Jim Donnelly</t>
  </si>
  <si>
    <t>SGT STEPHEN JOHNSON</t>
  </si>
  <si>
    <t>2001 - 2009 ARMY</t>
  </si>
  <si>
    <t>IRAQ</t>
  </si>
  <si>
    <t>QM3 DON MUNDY USN</t>
  </si>
  <si>
    <t>1950 - 1954</t>
  </si>
  <si>
    <t>Don Mundy</t>
  </si>
  <si>
    <t>FRANK CARR</t>
  </si>
  <si>
    <t>COL ARMY</t>
  </si>
  <si>
    <t>Frank Carr</t>
  </si>
  <si>
    <t>MAJOR WILLIAM W ALLEN</t>
  </si>
  <si>
    <t>WW II EUROPE</t>
  </si>
  <si>
    <t>Peter Allen</t>
  </si>
  <si>
    <t>THOMAS H ECHTER</t>
  </si>
  <si>
    <t>Marjorie Echter</t>
  </si>
  <si>
    <t>OUR TROOPS, VETERANS</t>
  </si>
  <si>
    <t>AND THEIR FAMILIES</t>
  </si>
  <si>
    <t>TAYLOR AND ROSIE RYAN</t>
  </si>
  <si>
    <t>J. Taylor and Rosie Ryan</t>
  </si>
  <si>
    <t>GOD BLESS OUR TROOPS</t>
  </si>
  <si>
    <t>NEIL AND SANDY DONOVAN</t>
  </si>
  <si>
    <t>Neil and Sandy Donovan</t>
  </si>
  <si>
    <t>NEIL F DONOVAN</t>
  </si>
  <si>
    <t>1941 - 2012</t>
  </si>
  <si>
    <t>FOREVER REMEMBERED</t>
  </si>
  <si>
    <t>EDGAR W HAMILTON</t>
  </si>
  <si>
    <t>HAROLD E WOLF</t>
  </si>
  <si>
    <t>Edward Wolf</t>
  </si>
  <si>
    <t>LAWRENCE A DEWING</t>
  </si>
  <si>
    <t>CAPTAIN   USN</t>
  </si>
  <si>
    <t>WW II  KOREA  VIETNAM</t>
  </si>
  <si>
    <t>Larry Dewing</t>
  </si>
  <si>
    <t>MARION CAPRIOTTI</t>
  </si>
  <si>
    <t>PHILIP J. TUMOLO</t>
  </si>
  <si>
    <t>US ARMY - WW II</t>
  </si>
  <si>
    <t>Larry Capriotti</t>
  </si>
  <si>
    <t>JOHN &amp; ELLEN MORGAN</t>
  </si>
  <si>
    <t>John Morgan</t>
  </si>
  <si>
    <t>FATHERS</t>
  </si>
  <si>
    <t>ALBERT (MAC) AULTICE</t>
  </si>
  <si>
    <t>KENNETH C STEENECK</t>
  </si>
  <si>
    <t>Lee and Regina Steeneck</t>
  </si>
  <si>
    <t>THOMAS H CROSTIC JR</t>
  </si>
  <si>
    <t>USN</t>
  </si>
  <si>
    <t>Joe and Carleen Crostic</t>
  </si>
  <si>
    <t>WALTER C McMANN</t>
  </si>
  <si>
    <t>SGT DARREN J DELUCA</t>
  </si>
  <si>
    <t>2001 - 2006  US ARMY</t>
  </si>
  <si>
    <t>BOSNIA IRAQ</t>
  </si>
  <si>
    <t>Peter and Carole DeLuca</t>
  </si>
  <si>
    <t>MAJOR VICTOR REYNOLDS</t>
  </si>
  <si>
    <t>WW II, KOREA</t>
  </si>
  <si>
    <t>James and Janice Owens</t>
  </si>
  <si>
    <t>MERVYN AND COLLEEN</t>
  </si>
  <si>
    <t>THEDE</t>
  </si>
  <si>
    <t>Merv and Colleen Thede</t>
  </si>
  <si>
    <t>JOSEPH DAY  ARMY 65-68</t>
  </si>
  <si>
    <t>173RD AIRBORNE BDE</t>
  </si>
  <si>
    <t>VIETNAM  1967</t>
  </si>
  <si>
    <t>ANN DAY</t>
  </si>
  <si>
    <t>Joe and Ann Day</t>
  </si>
  <si>
    <t>CPL MICHAEL ANNESE</t>
  </si>
  <si>
    <t>CPT JOSEPH SANTARELLI</t>
  </si>
  <si>
    <t>US ARMY WW II, KOREA</t>
  </si>
  <si>
    <t>Charles Santarelli</t>
  </si>
  <si>
    <t>ERVIN R AUGUSTIN</t>
  </si>
  <si>
    <t>1ST LT   US ARMY</t>
  </si>
  <si>
    <t>Don and Debbie Parker</t>
  </si>
  <si>
    <t>BURTON E PARKER</t>
  </si>
  <si>
    <t>COLONEL NYNG/ US ARMY</t>
  </si>
  <si>
    <t>1916 - 1947</t>
  </si>
  <si>
    <t>BURTON F PARKER</t>
  </si>
  <si>
    <t>COLONEL   US ARMY</t>
  </si>
  <si>
    <t>1943 - 1974</t>
  </si>
  <si>
    <t>DONALD D PARKER</t>
  </si>
  <si>
    <t>BRIG GENERAL  US ARMY</t>
  </si>
  <si>
    <t>1975 - 2002</t>
  </si>
  <si>
    <t>GULF WAR</t>
  </si>
  <si>
    <t>JIM &amp; DANICE PAXTON</t>
  </si>
  <si>
    <t>HARRY PAXTON  USN  WW I</t>
  </si>
  <si>
    <t>Jim and Darice Paxton</t>
  </si>
  <si>
    <t>PFC G LYNN STEWART</t>
  </si>
  <si>
    <t>1958 - 1960  US ARMY</t>
  </si>
  <si>
    <t>GERMANY</t>
  </si>
  <si>
    <t>G. Lynn Stewart</t>
  </si>
  <si>
    <t>PFC THOMAS COLEMAN JR</t>
  </si>
  <si>
    <t>1952 - 1954</t>
  </si>
  <si>
    <t>GEREMANY</t>
  </si>
  <si>
    <t>THANKS DAD!</t>
  </si>
  <si>
    <t>Janet Coleman</t>
  </si>
  <si>
    <t>JOHN AND NANCY ASKIN</t>
  </si>
  <si>
    <t>CORPORAL USMC  1960 - 64</t>
  </si>
  <si>
    <t>John and Nancy Askin</t>
  </si>
  <si>
    <t>IN HONOR OF THE</t>
  </si>
  <si>
    <t>FLANAGAN &amp; DEGENHARDT</t>
  </si>
  <si>
    <t>FAMILY MEMBERS</t>
  </si>
  <si>
    <t>1938 WHO SERVED 2009</t>
  </si>
  <si>
    <t>Brian and Nancy Flanagan</t>
  </si>
  <si>
    <t>SERICE AND SACRIFICE</t>
  </si>
  <si>
    <t>U S C G AUXILIARY</t>
  </si>
  <si>
    <t>FLOTILLA  10-05</t>
  </si>
  <si>
    <t>Joe Wheeler</t>
  </si>
  <si>
    <t>EM3 RALPH E JOHNSON</t>
  </si>
  <si>
    <t>LT.ROBERT L FATZINGER</t>
  </si>
  <si>
    <t>US ARMY  1966-69  KOREA</t>
  </si>
  <si>
    <t>Robert L. Fatzinger</t>
  </si>
  <si>
    <t>LTC DAG EGEDE-NISSEN</t>
  </si>
  <si>
    <t>1960 - 1980</t>
  </si>
  <si>
    <t>Dag Egede-Nissen</t>
  </si>
  <si>
    <t>WAYNE AND SUSAN</t>
  </si>
  <si>
    <t>DEUTSCHER  US ARMY</t>
  </si>
  <si>
    <t>1963 - 1983</t>
  </si>
  <si>
    <t>Wayne and Susan Deutscher</t>
  </si>
  <si>
    <t>CPT FRANCIS J DINEN</t>
  </si>
  <si>
    <t>1ST LT MARIE K DINEN</t>
  </si>
  <si>
    <t>US ARMY  1942 - 1945</t>
  </si>
  <si>
    <t>EUROPEAN THEATER</t>
  </si>
  <si>
    <t>Carol Mastrovitch</t>
  </si>
  <si>
    <t>1STLT VERNON THORNTON</t>
  </si>
  <si>
    <t>1993 - 1998</t>
  </si>
  <si>
    <t>Linda Thornton</t>
  </si>
  <si>
    <t>SGT SCOTT THORNTON</t>
  </si>
  <si>
    <t>USMC 1991 - 2000</t>
  </si>
  <si>
    <t>JOHN M CAVANAUGH</t>
  </si>
  <si>
    <t>WW II  USAAF</t>
  </si>
  <si>
    <t>Thomas J. Cavanaugh</t>
  </si>
  <si>
    <t>MY FATHER &amp; HIS 7</t>
  </si>
  <si>
    <t>BROTHERS &amp; SISTERS</t>
  </si>
  <si>
    <t>WHO FOUGHT IN WW II</t>
  </si>
  <si>
    <t>THE BOB PATTEN FAMILY</t>
  </si>
  <si>
    <t>R. Patten</t>
  </si>
  <si>
    <t>TOM LAWRENCE USAF PJ</t>
  </si>
  <si>
    <t>Steve Lawrence</t>
  </si>
  <si>
    <t>CAPT CHET SKOLDBERG</t>
  </si>
  <si>
    <t>US COAST GUARD  WW II</t>
  </si>
  <si>
    <t>IN LOVING MEMORY DAD</t>
  </si>
  <si>
    <t>Alice and Jack Carpenter</t>
  </si>
  <si>
    <t>JOHN CARPENTER</t>
  </si>
  <si>
    <t>USN WW II</t>
  </si>
  <si>
    <t>PATRIOT AND GREAT DAD</t>
  </si>
  <si>
    <t>THE DEVINE FAMILY</t>
  </si>
  <si>
    <t>Jim and Chris Devine</t>
  </si>
  <si>
    <t>DAVID CLARK USN</t>
  </si>
  <si>
    <t>SUBMARINE SERVICE</t>
  </si>
  <si>
    <t>JAMES CLARK USMC</t>
  </si>
  <si>
    <t>Beacky and Walt Dus</t>
  </si>
  <si>
    <t>LAW DONALD HENDRIX JR</t>
  </si>
  <si>
    <t>FIREMAN 2ND CLASS</t>
  </si>
  <si>
    <t>USS WILKES BARRE  1946</t>
  </si>
  <si>
    <t>USS PORTSMOUTH  1948</t>
  </si>
  <si>
    <t>Ted and Joy Smythe</t>
  </si>
  <si>
    <t>GENERAL GEORGE SMYTHE</t>
  </si>
  <si>
    <t>47TH INFANTRY RAIDERS</t>
  </si>
  <si>
    <t>CHERBOURG MONSCHAU</t>
  </si>
  <si>
    <t>BATTLE OF THE BULGE</t>
  </si>
  <si>
    <t>THEODORE SMYTHE  HM2</t>
  </si>
  <si>
    <t>UNITED STATES NAVY</t>
  </si>
  <si>
    <t>FLEET MARINE FORCE</t>
  </si>
  <si>
    <t>1965   1970</t>
  </si>
  <si>
    <t>RONALD D SMYTHE MM2</t>
  </si>
  <si>
    <t>JAMES C OWENS  DD776</t>
  </si>
  <si>
    <t>1956    1960</t>
  </si>
  <si>
    <t>COL WILBURN BOOZER</t>
  </si>
  <si>
    <t>US ARMY  1955 - 1986</t>
  </si>
  <si>
    <t>BARBARA BOOZER</t>
  </si>
  <si>
    <t>ARMY  WIFE  1963 - 1986</t>
  </si>
  <si>
    <t>Wilburn Boozer</t>
  </si>
  <si>
    <t>EDWARD S. KONDRACKI</t>
  </si>
  <si>
    <t>Ed and Mary Kondracki</t>
  </si>
  <si>
    <t>ED &amp; MARY KONDRACKI</t>
  </si>
  <si>
    <t>MIDSHIPMAN COURT</t>
  </si>
  <si>
    <t>JASON T NEWCOMB</t>
  </si>
  <si>
    <t>SGT USA</t>
  </si>
  <si>
    <t>Ward Newcomb</t>
  </si>
  <si>
    <t>LTCOL D LOOSLEY USAF</t>
  </si>
  <si>
    <t>ICELAND 66, VIETNAM 72</t>
  </si>
  <si>
    <t>F86D, F102, F106, A37</t>
  </si>
  <si>
    <t>Donald Loosley</t>
  </si>
  <si>
    <t>DEL DOLAN</t>
  </si>
  <si>
    <t>COOMBS FAMILY</t>
  </si>
  <si>
    <t>Bruce Combs</t>
  </si>
  <si>
    <t>IN MEMORY</t>
  </si>
  <si>
    <t>JAMES T MARTIN USAF</t>
  </si>
  <si>
    <t>EIGHTH AIR FORCE  WW II</t>
  </si>
  <si>
    <t>Kenneth A. Martin</t>
  </si>
  <si>
    <t>J KRAMBUHL R HOPKINS</t>
  </si>
  <si>
    <t>OUR WW II  USN VET DADS</t>
  </si>
  <si>
    <t>NANCY AND CHUCK</t>
  </si>
  <si>
    <t>KRAMBUHL</t>
  </si>
  <si>
    <t>Chuck and Nancy Krambuhl</t>
  </si>
  <si>
    <t>ROBERT J KLING</t>
  </si>
  <si>
    <t>FAMILY</t>
  </si>
  <si>
    <t>MARINES  ARMY  NAVY</t>
  </si>
  <si>
    <t>Don Kling</t>
  </si>
  <si>
    <t>WE THANK YOU</t>
  </si>
  <si>
    <t>THE BOOKLESS FAMILY</t>
  </si>
  <si>
    <t>Mr. and Mrs. Thomas Bookless</t>
  </si>
  <si>
    <t>LTCOL H PETE ERBE  USA</t>
  </si>
  <si>
    <t>1959 - 1981</t>
  </si>
  <si>
    <t>VIETNAM, COLD WAR</t>
  </si>
  <si>
    <t>H. Pete and Dana Erbe</t>
  </si>
  <si>
    <t>THANK YOU  US MILITARY</t>
  </si>
  <si>
    <t>HANSON, FORHANE &amp;</t>
  </si>
  <si>
    <t>GAVAN FAMILIES  2011</t>
  </si>
  <si>
    <t>Bill Hanson</t>
  </si>
  <si>
    <t>SSGT JOHN CRISTOS</t>
  </si>
  <si>
    <t>USAF</t>
  </si>
  <si>
    <t>1941 - 1965</t>
  </si>
  <si>
    <t>John Cristos</t>
  </si>
  <si>
    <t>THANKS TO ALL FOR</t>
  </si>
  <si>
    <t>YOUR SERVICE</t>
  </si>
  <si>
    <t>THE ZELLS</t>
  </si>
  <si>
    <t>Bill and Theresa Zell</t>
  </si>
  <si>
    <t>PAM &amp; JOE TAGLIA</t>
  </si>
  <si>
    <t>JOHN J MORAN</t>
  </si>
  <si>
    <t>Pamela and Joe Taglia</t>
  </si>
  <si>
    <t>OUR APPRECIATION TO</t>
  </si>
  <si>
    <t>MIKE &amp; BARB GALCHUS</t>
  </si>
  <si>
    <t>US ARMY  1966 - 1969</t>
  </si>
  <si>
    <t>Michael and Barb Galchus</t>
  </si>
  <si>
    <t>KATHY &amp; WALTER RYAN</t>
  </si>
  <si>
    <t>OUR THANKS TO ALL</t>
  </si>
  <si>
    <t>Walter and Kathy Ryan</t>
  </si>
  <si>
    <t>SGT STEVE THORNE  USMC</t>
  </si>
  <si>
    <t>1967 - 1971</t>
  </si>
  <si>
    <t>Steve Thorne</t>
  </si>
  <si>
    <t>COMMAND MASTER CHIEF</t>
  </si>
  <si>
    <t>STEVEN R STURGILL</t>
  </si>
  <si>
    <t>US NAVY  1984 - 2005</t>
  </si>
  <si>
    <t>Jack and Susan Sturgill</t>
  </si>
  <si>
    <t>RICHARD MUSIAK US NAVY</t>
  </si>
  <si>
    <t>1952 - 1955 KOREA</t>
  </si>
  <si>
    <t>IN APPRECIATION OF</t>
  </si>
  <si>
    <t>Deborah Nelson</t>
  </si>
  <si>
    <t>GOD BLESS</t>
  </si>
  <si>
    <t>ALL OUR VETERANS</t>
  </si>
  <si>
    <t>ROY &amp; AMELIA ANDERSEN</t>
  </si>
  <si>
    <t>US ARMY  1954 - 1956</t>
  </si>
  <si>
    <t>Roy and Amelia Andersen</t>
  </si>
  <si>
    <t>LT GERALDL R SIMPSON</t>
  </si>
  <si>
    <t>USN AVIATOR</t>
  </si>
  <si>
    <t>June S. Simpson</t>
  </si>
  <si>
    <t>HARVEY HATCHFIELD MD</t>
  </si>
  <si>
    <t>WW II   VETERAN</t>
  </si>
  <si>
    <t>Harvey J. Hatchfield, MD</t>
  </si>
  <si>
    <t>DENNIS O FAVER</t>
  </si>
  <si>
    <t>1974 - 2004</t>
  </si>
  <si>
    <t>Dennis and Elaine Faver</t>
  </si>
  <si>
    <t>RANDY &amp; CINDI BOOKOUT</t>
  </si>
  <si>
    <t>Randy and Cindy Bookout</t>
  </si>
  <si>
    <t>MICHAEL J SWEENEY</t>
  </si>
  <si>
    <t>CDR  USN</t>
  </si>
  <si>
    <t>1982 - 2011</t>
  </si>
  <si>
    <t>Owen and Alice Sweeney</t>
  </si>
  <si>
    <t>FOR ALL WHO</t>
  </si>
  <si>
    <t>SERVED</t>
  </si>
  <si>
    <t>OUR THANKS</t>
  </si>
  <si>
    <t>THE ALLISON FAMILY</t>
  </si>
  <si>
    <t>The Allison Family</t>
  </si>
  <si>
    <t>BARBARA R BOLAND</t>
  </si>
  <si>
    <t>AND</t>
  </si>
  <si>
    <t>DANIEL C BOLAND  SGT</t>
  </si>
  <si>
    <t>US ARMY   1963 - 1967</t>
  </si>
  <si>
    <t>Daniel Boland</t>
  </si>
  <si>
    <t>33 FALLEN OFFICERS</t>
  </si>
  <si>
    <t>38TH OCC AND</t>
  </si>
  <si>
    <t>BASIC CLASS 3-66</t>
  </si>
  <si>
    <t>USMC - VIETNAM</t>
  </si>
  <si>
    <t>Douglas and Patricia Starr</t>
  </si>
  <si>
    <t>1LT EDWARD H SNIFFIN</t>
  </si>
  <si>
    <t>EUROPE</t>
  </si>
  <si>
    <t>E. M. Sniffin</t>
  </si>
  <si>
    <t>WILLIAM FORRESTER III</t>
  </si>
  <si>
    <t>USA</t>
  </si>
  <si>
    <t>Joan Forrester</t>
  </si>
  <si>
    <t>THE FORRESTER FAMILY</t>
  </si>
  <si>
    <t>RYAN HILL</t>
  </si>
  <si>
    <t>WILLIAM FORRESTER IV</t>
  </si>
  <si>
    <t>DAVID LATHROP</t>
  </si>
  <si>
    <t>COL TED CARLSEN  ARNG</t>
  </si>
  <si>
    <t>1964 - 1995</t>
  </si>
  <si>
    <t>VIETNAM-COLD WAR-GULF</t>
  </si>
  <si>
    <t>THANKS   ALL VETERANS</t>
  </si>
  <si>
    <t>Theodore and Fran Carlsen</t>
  </si>
  <si>
    <t>FRANCES REAMS CARLSEN</t>
  </si>
  <si>
    <t>SP5 - WAC</t>
  </si>
  <si>
    <t>1957 - 1960</t>
  </si>
  <si>
    <t>NATALIE &amp; DAVE PALMER</t>
  </si>
  <si>
    <t>THANKS  TO ALL</t>
  </si>
  <si>
    <t>Natalie and Dave Palmer</t>
  </si>
  <si>
    <t>TATNALL HURTT</t>
  </si>
  <si>
    <t>1963 - 1969</t>
  </si>
  <si>
    <t>USMCR</t>
  </si>
  <si>
    <t>Tatnall Hurtt</t>
  </si>
  <si>
    <t>TSGT FRANK DURANTE</t>
  </si>
  <si>
    <t>ARMY AIR CORPS</t>
  </si>
  <si>
    <t>James A. Durante</t>
  </si>
  <si>
    <t>GERALD P HRABICA</t>
  </si>
  <si>
    <t>US ARMY  1965 - 1967</t>
  </si>
  <si>
    <t>Ginny and Jerry Hrabica</t>
  </si>
  <si>
    <t>JAMES HURLEY     ARMY</t>
  </si>
  <si>
    <t>1942 - 2008   VIETNAM</t>
  </si>
  <si>
    <t>DAD, THANK YOU</t>
  </si>
  <si>
    <t>James Hurley</t>
  </si>
  <si>
    <t>ALFRED CUROTOLA</t>
  </si>
  <si>
    <t>US ARMY    KIA 1945</t>
  </si>
  <si>
    <t>Marilyn Curotola</t>
  </si>
  <si>
    <t>SGT EDWARD WILSON</t>
  </si>
  <si>
    <t>USAAF  WW II</t>
  </si>
  <si>
    <t>LT EDWARD S FRIEDRICH</t>
  </si>
  <si>
    <t>1971 - 1979  USNR</t>
  </si>
  <si>
    <t>1979 - 1994  USCGR</t>
  </si>
  <si>
    <t>Ed Friedrich</t>
  </si>
  <si>
    <t>DARRYL J DE SERIO</t>
  </si>
  <si>
    <t>LCDR  USN</t>
  </si>
  <si>
    <t>1965 - 1985</t>
  </si>
  <si>
    <t>Darryl J. DeSerio</t>
  </si>
  <si>
    <t>BERNARD (MIKE) BEELER</t>
  </si>
  <si>
    <t>Mike Munson</t>
  </si>
  <si>
    <t>C.S. MUNSON JR</t>
  </si>
  <si>
    <t>CHARLES BEELER</t>
  </si>
  <si>
    <t>JOSEPH BEELER</t>
  </si>
  <si>
    <t>ROBERT BEELER</t>
  </si>
  <si>
    <t>MARGARET BEELER</t>
  </si>
  <si>
    <t>JAMES BEELER</t>
  </si>
  <si>
    <t>BOB FLANAGAN</t>
  </si>
  <si>
    <t>I SERVED</t>
  </si>
  <si>
    <t>WILL YOU?</t>
  </si>
  <si>
    <t>Bob Flanagan</t>
  </si>
  <si>
    <t>CPL JOSEPH VERNER</t>
  </si>
  <si>
    <t>IWO JIMA SURVIVOR</t>
  </si>
  <si>
    <t>WW II US MARINE CORPS</t>
  </si>
  <si>
    <t>Joseph and Elizabeth Thomas</t>
  </si>
  <si>
    <t>JOSHUA F. BROADWAY, JR</t>
  </si>
  <si>
    <t>USCG - WW II</t>
  </si>
  <si>
    <t>ARMY - KOREA</t>
  </si>
  <si>
    <t>Joshua F. Broadway, Jr.</t>
  </si>
  <si>
    <t>LT J G Van NATTA</t>
  </si>
  <si>
    <t>US ARMY   WW II</t>
  </si>
  <si>
    <t>LT JOHN G Van NATTA</t>
  </si>
  <si>
    <t>US NAVY  VIETNAM</t>
  </si>
  <si>
    <t>John G. VanNatta</t>
  </si>
  <si>
    <t>27 KILLED IN VIETNAM</t>
  </si>
  <si>
    <t>FROM FATHER JUDGE</t>
  </si>
  <si>
    <t>HIGH SCHOOL PHILA PA</t>
  </si>
  <si>
    <t>DICK OLSZANOWSKI</t>
  </si>
  <si>
    <t>Richard T. Olszanowski</t>
  </si>
  <si>
    <t>DEAN R APA</t>
  </si>
  <si>
    <t>US MARINE CORP</t>
  </si>
  <si>
    <t>1972 - 1992</t>
  </si>
  <si>
    <t>Ralph Apa</t>
  </si>
  <si>
    <t>THE SCHNEIDER FAMILY</t>
  </si>
  <si>
    <t>THANKS GOD BLESS</t>
  </si>
  <si>
    <t>Richard and Pat Schneider</t>
  </si>
  <si>
    <t>ADR3 WAYNE MOODY NAVY</t>
  </si>
  <si>
    <t>1957 - 1963</t>
  </si>
  <si>
    <t>Wayne and Kathy Moody</t>
  </si>
  <si>
    <t>WALTER F DENISIUK</t>
  </si>
  <si>
    <t>RAYMOND J BAUER</t>
  </si>
  <si>
    <t>Bruce Bauer</t>
  </si>
  <si>
    <t>VINTAGE LADIES</t>
  </si>
  <si>
    <t>DOLLEY MADISON</t>
  </si>
  <si>
    <t>CHAPTER EST. 1998</t>
  </si>
  <si>
    <t>Vintage Ladies - Dolley Madison Chapter</t>
  </si>
  <si>
    <t>S/SGT GARY GOLDENBAUM</t>
  </si>
  <si>
    <t>USAF  1965 - 1969</t>
  </si>
  <si>
    <t>TAC - ADC - USAFE</t>
  </si>
  <si>
    <t>Gary Goldenbaum</t>
  </si>
  <si>
    <t>RANDY LEWIS</t>
  </si>
  <si>
    <t>AVIATION MACHINIST</t>
  </si>
  <si>
    <t>US NAVY</t>
  </si>
  <si>
    <t>Randy Lewis</t>
  </si>
  <si>
    <t>HUBERT ODENTHAL</t>
  </si>
  <si>
    <t>SERGEANT US ARMS</t>
  </si>
  <si>
    <t>JOHN SURNIAK USA  WW II</t>
  </si>
  <si>
    <t>OM DeHAVEN USA WW II</t>
  </si>
  <si>
    <t>LOVING FATHERS OF</t>
  </si>
  <si>
    <t>LEN &amp; DEBBY SURNIAK</t>
  </si>
  <si>
    <t>Len and Debby Surniak</t>
  </si>
  <si>
    <t>MAJ PATRICK McKINLEY</t>
  </si>
  <si>
    <t>US MARINE CORPS</t>
  </si>
  <si>
    <t>IRAQ - AFGHANISTAN</t>
  </si>
  <si>
    <t>2000 - PRESENT</t>
  </si>
  <si>
    <t>Robert McKinley</t>
  </si>
  <si>
    <t>IN HONOR OF THOSE</t>
  </si>
  <si>
    <t>JANKOWSKI FAMILY</t>
  </si>
  <si>
    <t>William Jankowski</t>
  </si>
  <si>
    <t>THE CODDINGTONS</t>
  </si>
  <si>
    <t>Jerry and Julie Coddington</t>
  </si>
  <si>
    <t>EDWARD BASTEDENBECK</t>
  </si>
  <si>
    <t>1ST LT ARMY  WW II</t>
  </si>
  <si>
    <t>10/13/1919 - 7/7/1983</t>
  </si>
  <si>
    <t>Kenneth Bastedenbeck</t>
  </si>
  <si>
    <t>SERVICE AND SACRIFICE</t>
  </si>
  <si>
    <t>JOE &amp; JAN BOLAND</t>
  </si>
  <si>
    <t>79TH INF. DIV.  1961 - 67</t>
  </si>
  <si>
    <t>Joe &amp; Jan Boland</t>
  </si>
  <si>
    <t>TOM SAULLO  US ARMY</t>
  </si>
  <si>
    <t>BROWN FAMILY</t>
  </si>
  <si>
    <t>SAULLO FAMILY</t>
  </si>
  <si>
    <t>Thomas Saulio</t>
  </si>
  <si>
    <t>TED J STEPHENS JR</t>
  </si>
  <si>
    <t>SP4  US ARMY</t>
  </si>
  <si>
    <t>1971 - 1973</t>
  </si>
  <si>
    <t>Ted Stephens</t>
  </si>
  <si>
    <t>JOHN D STEVENS</t>
  </si>
  <si>
    <t>SUFFERN NY</t>
  </si>
  <si>
    <t>CORPORAL US ARMY</t>
  </si>
  <si>
    <t>1943 - 1946</t>
  </si>
  <si>
    <t>TED J STEPHEN SR</t>
  </si>
  <si>
    <t>SOUTH ORANGE NJ</t>
  </si>
  <si>
    <t>RDR 2  US ARMY</t>
  </si>
  <si>
    <t>LT ANTHONY DURSO  USN</t>
  </si>
  <si>
    <t>APRIL 1942 - OCT 1956</t>
  </si>
  <si>
    <t>WW II SOUTH PACIFIC</t>
  </si>
  <si>
    <t>USS PORTLAND</t>
  </si>
  <si>
    <t>Anthony Durso</t>
  </si>
  <si>
    <t>THOMAS &amp; MURIEL</t>
  </si>
  <si>
    <t>WINSTON</t>
  </si>
  <si>
    <t>Carol and Ken Kidd</t>
  </si>
  <si>
    <t>SINCERE THANKS TO</t>
  </si>
  <si>
    <t>RICHARD &amp; ROBERT KERR</t>
  </si>
  <si>
    <t>FOR THE SERVICES THEY</t>
  </si>
  <si>
    <t>PERFORMED IN THE ARMY</t>
  </si>
  <si>
    <t>Roger and Judy Kerr</t>
  </si>
  <si>
    <t>CPL ROBERT A ELDRIDGE</t>
  </si>
  <si>
    <t>1952 - 1954  US ARMY</t>
  </si>
  <si>
    <t>1954 - 1960 US ARMY R</t>
  </si>
  <si>
    <t>Mary Eldridge</t>
  </si>
  <si>
    <t>RADM CECIL H. COGGINS</t>
  </si>
  <si>
    <t>US NAVY  MC 1930 - 1960</t>
  </si>
  <si>
    <t>OSS, ONI, SACO, NATO</t>
  </si>
  <si>
    <t>PSY-OPS, INTELLIGENCE</t>
  </si>
  <si>
    <t>William B &amp; Margaret Coggins</t>
  </si>
  <si>
    <t>LAND OF THE FREE</t>
  </si>
  <si>
    <t>BECAUSE OF THE BRAVE</t>
  </si>
  <si>
    <t>NOYES FAMILY</t>
  </si>
  <si>
    <t>Linda Noyes</t>
  </si>
  <si>
    <t>IN HONOR OF OUR</t>
  </si>
  <si>
    <t>RAYMOND J. LARRISEY</t>
  </si>
  <si>
    <t>Patricia S. Rizzo</t>
  </si>
  <si>
    <t>MAJ MH McMICHAEL  ARMY</t>
  </si>
  <si>
    <t>WW II - FATHER</t>
  </si>
  <si>
    <t>SGT DJ McMICHAEL  USAF</t>
  </si>
  <si>
    <t>VIETNAM 65-66  BROTHER</t>
  </si>
  <si>
    <t>Monte McMichael</t>
  </si>
  <si>
    <t>JAMES W GRIFFITH</t>
  </si>
  <si>
    <t>US ARMY AVIATION</t>
  </si>
  <si>
    <t>1965 - 1970</t>
  </si>
  <si>
    <t>KOREA  VIETNAM  PANAMA</t>
  </si>
  <si>
    <t>James W. Griffith</t>
  </si>
  <si>
    <t>CPL JJ O'CONNOR  WW I</t>
  </si>
  <si>
    <t>CPL JJ O'CONNOR  WW II</t>
  </si>
  <si>
    <t>LT FW BROWN WW II/KOREA</t>
  </si>
  <si>
    <t>LT FM BROWN KOREA USA</t>
  </si>
  <si>
    <t>Frank Brown</t>
  </si>
  <si>
    <t>H JACK SNYDER  US NAVY</t>
  </si>
  <si>
    <t>CHUCK NICHOLS  US ARMY</t>
  </si>
  <si>
    <t>FOREVER IN YOUR DEBT</t>
  </si>
  <si>
    <t>Mike and Sue Nichols</t>
  </si>
  <si>
    <t>LTC GORDON E ALBRO</t>
  </si>
  <si>
    <t>32 YEARS OF DEDICATED</t>
  </si>
  <si>
    <t>SERVICE USMC + US ARMY</t>
  </si>
  <si>
    <t>Margaret Johnson</t>
  </si>
  <si>
    <t>THE RANKIN FAMILY</t>
  </si>
  <si>
    <t>TO ALL THE TROOPS</t>
  </si>
  <si>
    <t>THANKS FOR A JOB</t>
  </si>
  <si>
    <t>WELL DONE</t>
  </si>
  <si>
    <t>Spencer and Eileen Rankin</t>
  </si>
  <si>
    <t>IN LASTING MEMORY</t>
  </si>
  <si>
    <t>SGT HENRY FINNERIN MP</t>
  </si>
  <si>
    <t>WW II  EUROPE-PACIFIC</t>
  </si>
  <si>
    <t>John Finnerin</t>
  </si>
  <si>
    <t>SPEC4 ROBERT MARKWOOD</t>
  </si>
  <si>
    <t>US ARMY  1956 - 1958</t>
  </si>
  <si>
    <t>HEIDELBERG, GERMANY</t>
  </si>
  <si>
    <t>Robert Markwood</t>
  </si>
  <si>
    <t>PEG AND JOE</t>
  </si>
  <si>
    <t>O'BRIEN</t>
  </si>
  <si>
    <t>Joe and Peg O'Brien</t>
  </si>
  <si>
    <t>CDR AND MRS</t>
  </si>
  <si>
    <t>WILLIAM E WELLS</t>
  </si>
  <si>
    <t>ARBOR CREEK</t>
  </si>
  <si>
    <t>William and Joanne Wells</t>
  </si>
  <si>
    <t>CAPT JOHN SKRIEF USNR</t>
  </si>
  <si>
    <t>1969 - 1993</t>
  </si>
  <si>
    <t>VIETNAM  DESERT STORM</t>
  </si>
  <si>
    <t>John Skrief</t>
  </si>
  <si>
    <t>THOMAS FORT COL USMC</t>
  </si>
  <si>
    <t>DESERT STORM 1990</t>
  </si>
  <si>
    <t>IRAQ 2009</t>
  </si>
  <si>
    <t>Ed Fort</t>
  </si>
  <si>
    <t>TO HONOR OUR FAMILY</t>
  </si>
  <si>
    <t>DICK &amp; CAROL SZOT</t>
  </si>
  <si>
    <t>Dick and Carol Szot</t>
  </si>
  <si>
    <t>LT GEORGE SCHULTE  USN</t>
  </si>
  <si>
    <t>1943 - 1945</t>
  </si>
  <si>
    <t>WW II SAIPAN</t>
  </si>
  <si>
    <t>Mike and Nancy Schulte</t>
  </si>
  <si>
    <t>V. MORSCHAUSER</t>
  </si>
  <si>
    <t>AERM2  US NAVY</t>
  </si>
  <si>
    <t>WW II  PACIFIC</t>
  </si>
  <si>
    <t>R. A. Morschauser</t>
  </si>
  <si>
    <t>RM3 JOSEPH P JAROCKI</t>
  </si>
  <si>
    <t>VIETNAM  USN</t>
  </si>
  <si>
    <t>Joseph P. Jarocki</t>
  </si>
  <si>
    <t>LTG JOE KINZER  US ARMY</t>
  </si>
  <si>
    <t>1959 - 1998</t>
  </si>
  <si>
    <t>VIETNAM, PANAMA, HAITI</t>
  </si>
  <si>
    <t>DOMINICAN REPUBLIC</t>
  </si>
  <si>
    <t>Joseph W. Kinzer</t>
  </si>
  <si>
    <t>MICHAEL S BABUSKA AND</t>
  </si>
  <si>
    <t>CHARLES H PRIEFER</t>
  </si>
  <si>
    <t>Charles and Sheila Priefer</t>
  </si>
  <si>
    <t>DAVE AND CAROL ROCHE</t>
  </si>
  <si>
    <t>USA  VIETNAM  1967 - 1969</t>
  </si>
  <si>
    <t>Dave Roche</t>
  </si>
  <si>
    <t>GOD BLESS ALL WHO</t>
  </si>
  <si>
    <t>HAVE SERVED TO KEEP</t>
  </si>
  <si>
    <t>US FREE</t>
  </si>
  <si>
    <t>JOE &amp; MARYLNN MEISSNER</t>
  </si>
  <si>
    <t>Joe and Marylynn Meissner</t>
  </si>
  <si>
    <t>BOB AND LINDA DIXON</t>
  </si>
  <si>
    <t>Bob and Linda Dixon</t>
  </si>
  <si>
    <t>TATUM</t>
  </si>
  <si>
    <t>1966 - 1970</t>
  </si>
  <si>
    <t>NEVER FORGET</t>
  </si>
  <si>
    <t>Clifford Tatum</t>
  </si>
  <si>
    <t>T/SGT ARMY  AIR CORPS</t>
  </si>
  <si>
    <t>ERNEST HAYES JR</t>
  </si>
  <si>
    <t>1944 - 1946</t>
  </si>
  <si>
    <t>Doug and Beverly White</t>
  </si>
  <si>
    <t>GERALD D CHERRY</t>
  </si>
  <si>
    <t>1930 - 1995</t>
  </si>
  <si>
    <t>Steve Cherry</t>
  </si>
  <si>
    <t>ST. JAMES</t>
  </si>
  <si>
    <t>P.R.I.D.E.</t>
  </si>
  <si>
    <t>St. James P.R.I.D.E.</t>
  </si>
  <si>
    <t>LTCOL STEVE AND JANE</t>
  </si>
  <si>
    <t>HARRINGTON</t>
  </si>
  <si>
    <t>USAF  1969 - 1990</t>
  </si>
  <si>
    <t>Steve and Jane Harrington</t>
  </si>
  <si>
    <t>MARVIN A HAGAN    WW II</t>
  </si>
  <si>
    <t>HELEN PASTERICK     WW II</t>
  </si>
  <si>
    <t>JOSEPH J GIRASEK     WW II</t>
  </si>
  <si>
    <t>Rich and Kathy Hagan</t>
  </si>
  <si>
    <t>WILLIAM M JANKOWSKI</t>
  </si>
  <si>
    <t>A2C USAF  1959 - 1962</t>
  </si>
  <si>
    <t>William M. Jankowski</t>
  </si>
  <si>
    <t>SHERMAN W GRIFFIN</t>
  </si>
  <si>
    <t>Carrie Guerrette</t>
  </si>
  <si>
    <t>CPL JOSEPH STERN</t>
  </si>
  <si>
    <t>8TH US ARMY AIR FORCE</t>
  </si>
  <si>
    <t>WW II  1943 - 1945  EUROPE</t>
  </si>
  <si>
    <t>Barbara Stern</t>
  </si>
  <si>
    <t>T/SGT MATT A PANEK</t>
  </si>
  <si>
    <t>9TH  US ARMY AIR FORCE</t>
  </si>
  <si>
    <t>WW II  1941 - 1945  EUROPE</t>
  </si>
  <si>
    <t>ROBERT J KLEID</t>
  </si>
  <si>
    <t>USN - KOREAN WAR</t>
  </si>
  <si>
    <t>James P. and Pat Brick</t>
  </si>
  <si>
    <t>BRICK'S BRICK</t>
  </si>
  <si>
    <t>VIETNAM WAR</t>
  </si>
  <si>
    <t>JAMES J MOORE II</t>
  </si>
  <si>
    <t>SILVER STAR</t>
  </si>
  <si>
    <t>PATRICK J LANIGAN MD</t>
  </si>
  <si>
    <t>MEDICAL CORPS</t>
  </si>
  <si>
    <t>Caren C. Lanigan</t>
  </si>
  <si>
    <t>GEORGE McLEOD</t>
  </si>
  <si>
    <t>WW II  -  USA</t>
  </si>
  <si>
    <t>Allen McLeod</t>
  </si>
  <si>
    <t>JORDAN FLICK</t>
  </si>
  <si>
    <t>WW II  -  GERMANY</t>
  </si>
  <si>
    <t>Jack and Sandy Floyd</t>
  </si>
  <si>
    <t>FURINESS FAMILY</t>
  </si>
  <si>
    <t>AND NOW SERVE</t>
  </si>
  <si>
    <t>Sam Furiness</t>
  </si>
  <si>
    <t>JOHN P LEVIS SR</t>
  </si>
  <si>
    <t>STAFF SGT US ARMY</t>
  </si>
  <si>
    <t>WW II  PHILIPPINES</t>
  </si>
  <si>
    <t>John and Lourdes Levis</t>
  </si>
  <si>
    <t>RAFAEL GARCIA SR</t>
  </si>
  <si>
    <t>SPC4  US ARMY</t>
  </si>
  <si>
    <t>1969 - 1971</t>
  </si>
  <si>
    <t>SCOTT W COLBURN</t>
  </si>
  <si>
    <t>CAPT DC USN</t>
  </si>
  <si>
    <t>1990 - 2012</t>
  </si>
  <si>
    <t>Scott and Ann Colburn</t>
  </si>
  <si>
    <t>ANN BOBECK COLBURN</t>
  </si>
  <si>
    <t>CAPT MSC USN</t>
  </si>
  <si>
    <t>1983 - 2013</t>
  </si>
  <si>
    <t>DAVE &amp; SCOTT ANDERSON</t>
  </si>
  <si>
    <t>CLARENCE FRITTS</t>
  </si>
  <si>
    <t>BRAD ANDERSON - USAF</t>
  </si>
  <si>
    <t>Dave and Karen Anderson</t>
  </si>
  <si>
    <t>BOB HOWLETT  US ARMY</t>
  </si>
  <si>
    <t>DOUBLE PURPLE HEART</t>
  </si>
  <si>
    <t>WW II ALL OUR LOVE</t>
  </si>
  <si>
    <t>THE HOWLETT FAMILY</t>
  </si>
  <si>
    <t>Marie F. Howlett</t>
  </si>
  <si>
    <t>SGT TOM DiRUZZO</t>
  </si>
  <si>
    <t>1966 - 1969</t>
  </si>
  <si>
    <t>PHILIPPINES</t>
  </si>
  <si>
    <t>Tom and Mary DiRuzzo</t>
  </si>
  <si>
    <t>JEN BRIAN LIAM</t>
  </si>
  <si>
    <t>DICKSON</t>
  </si>
  <si>
    <t>THANK</t>
  </si>
  <si>
    <t>US ARMED FORCES</t>
  </si>
  <si>
    <t>Brian Dickson</t>
  </si>
  <si>
    <t>BILL FODEN</t>
  </si>
  <si>
    <t>US MARINES</t>
  </si>
  <si>
    <t>WILLIAM BRADLEY FODEN</t>
  </si>
  <si>
    <t>3RD BATTALION</t>
  </si>
  <si>
    <t>6TH  MARINES REGIMENT</t>
  </si>
  <si>
    <t>THANK YOU VETERANS</t>
  </si>
  <si>
    <t>SALLY AND STEVE</t>
  </si>
  <si>
    <t>SEAWRIGHT</t>
  </si>
  <si>
    <t>Steve Seawright</t>
  </si>
  <si>
    <t>LLOYD F CHRISTIANSON</t>
  </si>
  <si>
    <t>01/04/1914 - 12/25/2006</t>
  </si>
  <si>
    <t>CAPT. US ARMY  WW II</t>
  </si>
  <si>
    <t>SIGNAL CORPS - RADAR</t>
  </si>
  <si>
    <t>Charles J. Christianson</t>
  </si>
  <si>
    <t>COOKIE YAEGER HERKA</t>
  </si>
  <si>
    <t>02/05/1948 - 08/28/2011</t>
  </si>
  <si>
    <t>MOTHER OF A SOLDIER</t>
  </si>
  <si>
    <t>HARRY ROSE FAMILY</t>
  </si>
  <si>
    <t>Harry E. Rose</t>
  </si>
  <si>
    <t>RON &amp; LILA ANDERSON</t>
  </si>
  <si>
    <t>Ronald and Lila Anderson</t>
  </si>
  <si>
    <t>GOD BLESS AMERICA</t>
  </si>
  <si>
    <t>ALWAYS REMEMBER 9-11</t>
  </si>
  <si>
    <t>CPL PAUL R WOODYARD</t>
  </si>
  <si>
    <t>Paul R. Woodyard</t>
  </si>
  <si>
    <t>LCDR THOMAS J AYLWARD</t>
  </si>
  <si>
    <t>USN PILOT WW II</t>
  </si>
  <si>
    <t>Mr. and Mrs. H. J. Christianson</t>
  </si>
  <si>
    <t>SGT RAY BOLLING</t>
  </si>
  <si>
    <t>1ST CAV DIV</t>
  </si>
  <si>
    <t>KOREA - VIETNAM - KOREA</t>
  </si>
  <si>
    <t>1961 - 1964</t>
  </si>
  <si>
    <t>Raymond Bolling</t>
  </si>
  <si>
    <t>WILLOX FAMILY MARINES</t>
  </si>
  <si>
    <t>NICK:  WW II - NAVY CROSS</t>
  </si>
  <si>
    <t>LUCILLE:  WW II &amp; DOUG</t>
  </si>
  <si>
    <t>PRESIDENTIAL GUARD</t>
  </si>
  <si>
    <t>Douglas Willox</t>
  </si>
  <si>
    <t>B &amp; B MAXWELL</t>
  </si>
  <si>
    <t>TO ALL OUR FAMILY</t>
  </si>
  <si>
    <t>WHO SERVED WITH HONOR</t>
  </si>
  <si>
    <t>Bruce Maxwell</t>
  </si>
  <si>
    <t>JESSE AND MARTHA KENT</t>
  </si>
  <si>
    <t>TO HONOR</t>
  </si>
  <si>
    <t>ALL WHO HAVE SERVED</t>
  </si>
  <si>
    <t>OUR COUNTRY</t>
  </si>
  <si>
    <t>Jesse and Martha Kent</t>
  </si>
  <si>
    <t>RAYMOND H FURROWS  USN</t>
  </si>
  <si>
    <t>USS CORAL SEA</t>
  </si>
  <si>
    <t>1950 - 1953</t>
  </si>
  <si>
    <t>Kevin Furrows</t>
  </si>
  <si>
    <t>CARROLL N HARRIS JR</t>
  </si>
  <si>
    <t>CAPTAIN - US NAVY</t>
  </si>
  <si>
    <t>WITH HONOR AND LOVE</t>
  </si>
  <si>
    <t>FROM YOUR FAMILY</t>
  </si>
  <si>
    <t>Elaine Harris</t>
  </si>
  <si>
    <t>ST, JAMES SERVICE CLUB</t>
  </si>
  <si>
    <t>HONORING THOSE WHO</t>
  </si>
  <si>
    <t>SERVED OUR COUNTRY</t>
  </si>
  <si>
    <t>St. James Service Club, Inc.</t>
  </si>
  <si>
    <t>ROBERT E EICHHORN</t>
  </si>
  <si>
    <t>CPL USMC</t>
  </si>
  <si>
    <t>Mary Ann Eichhorn</t>
  </si>
  <si>
    <t>GEORGE W McLAUGHLIN</t>
  </si>
  <si>
    <t>CAPT USA  WW II  KOREA</t>
  </si>
  <si>
    <t>DOROTHY K McLAUGHLIN</t>
  </si>
  <si>
    <t>T/SGT USA  WW II</t>
  </si>
  <si>
    <t>Dottie M. and Deward Douglas</t>
  </si>
  <si>
    <t>PAUL D DOUGLAS  USN</t>
  </si>
  <si>
    <t>KATHLEEN M KING  USN</t>
  </si>
  <si>
    <t>LENA M KING  USN</t>
  </si>
  <si>
    <t>VILLAGE OF</t>
  </si>
  <si>
    <t>BALD HEAD ISLAND</t>
  </si>
  <si>
    <t>SUPPORTING OUR VETS</t>
  </si>
  <si>
    <t>Village of Bald Head Island</t>
  </si>
  <si>
    <t>DENNIS G COURTNAGE</t>
  </si>
  <si>
    <t>LTCOL USMC</t>
  </si>
  <si>
    <t>1970 - 1992  VIETNAM</t>
  </si>
  <si>
    <t>Dennis Courtnage</t>
  </si>
  <si>
    <t>FRANCIS J FARRELL</t>
  </si>
  <si>
    <t>1LT US ARMY  WW II</t>
  </si>
  <si>
    <t>100TH INFANTRY DIV.</t>
  </si>
  <si>
    <t>Thomas Picinich</t>
  </si>
  <si>
    <t>AUGUST M PICINICH</t>
  </si>
  <si>
    <t>PFC US ARMY  WW II</t>
  </si>
  <si>
    <t>FEB 12 1921 - MAR 17 1969</t>
  </si>
  <si>
    <t>ROBERT CHANDLER</t>
  </si>
  <si>
    <t>RICHARD J MAYER MD</t>
  </si>
  <si>
    <t>Patricia Mayer</t>
  </si>
  <si>
    <t>WILLIAM J SULLIVAN II</t>
  </si>
  <si>
    <t>USNR 156 - 1974 AK2 LT</t>
  </si>
  <si>
    <t>INARNG  1974 - 1980 MAJ</t>
  </si>
  <si>
    <t>USAR  1980 - 1990 LTC</t>
  </si>
  <si>
    <t>William J. Sullivan II</t>
  </si>
  <si>
    <t>JAMES E. COCKET</t>
  </si>
  <si>
    <t>SEAMAN 1/C   US NAVY</t>
  </si>
  <si>
    <t>1943 - 1946  WW II</t>
  </si>
  <si>
    <t>Larry and Cindy Trainor</t>
  </si>
  <si>
    <t>FOREVER GRATEFUL FOR</t>
  </si>
  <si>
    <t>SERVICE &amp; SACRIFICES</t>
  </si>
  <si>
    <t>JACK &amp; PEGGY MARTIN</t>
  </si>
  <si>
    <t>Jack and Peggy Martin</t>
  </si>
  <si>
    <t>BILL TILDEN</t>
  </si>
  <si>
    <t>HIGH POINT NC</t>
  </si>
  <si>
    <t>KIA - ITALY</t>
  </si>
  <si>
    <t>Homer E. Wright, Jr.</t>
  </si>
  <si>
    <t>ELDIN LEE RAY</t>
  </si>
  <si>
    <t>TROY OHIO</t>
  </si>
  <si>
    <t>JIM SHANKS</t>
  </si>
  <si>
    <t>CINCINNATI OHIO</t>
  </si>
  <si>
    <t>WW II  ITALY</t>
  </si>
  <si>
    <t>ANTHONY P NATALE</t>
  </si>
  <si>
    <t>NEW JERSEY</t>
  </si>
  <si>
    <t>GORDON G SCOTT</t>
  </si>
  <si>
    <t>EDEN NC</t>
  </si>
  <si>
    <t>WW II  FRANCE</t>
  </si>
  <si>
    <t>JOHN BALBERT - NY GUARD</t>
  </si>
  <si>
    <t>JAMES BOLAND - US ARMY</t>
  </si>
  <si>
    <t>Thomas and Margaret Balbert</t>
  </si>
  <si>
    <t>NED W. BACHELDOR</t>
  </si>
  <si>
    <t>COL USA</t>
  </si>
  <si>
    <t>Ned Bacheldor</t>
  </si>
  <si>
    <t>FROM COLLETTT, GOLDER</t>
  </si>
  <si>
    <t>AND WILLS FAMILIES</t>
  </si>
  <si>
    <t>Liz Collett</t>
  </si>
  <si>
    <t>NED HOGMIRE USA  WWI</t>
  </si>
  <si>
    <t>CMDR JG CORLEW  USN</t>
  </si>
  <si>
    <t>Gordon and Alicia Corlew</t>
  </si>
  <si>
    <t>ROBERT HAMILL JR  USN</t>
  </si>
  <si>
    <t>ANDREW HAMILL  USA</t>
  </si>
  <si>
    <t>WW II ITALY</t>
  </si>
  <si>
    <t>ROBERT J HAMILL  USMC</t>
  </si>
  <si>
    <t>PETER P HAMILL   USMC</t>
  </si>
  <si>
    <t>ALICIA HAMILL CORLEW</t>
  </si>
  <si>
    <t>CPT ANC VIETNAM</t>
  </si>
  <si>
    <t>ROBERT A. EISIMINGER</t>
  </si>
  <si>
    <t>CHIEF PETTY OFFICER</t>
  </si>
  <si>
    <t>Cheryl Matsche</t>
  </si>
  <si>
    <t>WILLIAM REIDWAY</t>
  </si>
  <si>
    <t>196TH LIGHT INFANTRY</t>
  </si>
  <si>
    <t>1965 - 1967</t>
  </si>
  <si>
    <t>William Reidway</t>
  </si>
  <si>
    <t>CHARLES BLACKBURN</t>
  </si>
  <si>
    <t>YN2 USCG  1965 - 1969</t>
  </si>
  <si>
    <t>CHARLES BLACKBURN II</t>
  </si>
  <si>
    <t>PS2 USCG/USMC  IRAQ</t>
  </si>
  <si>
    <t>Charles Blackburn</t>
  </si>
  <si>
    <t>LT. CDR LEE L STARR</t>
  </si>
  <si>
    <t>AAM1CL RICH VANHARKEN</t>
  </si>
  <si>
    <t>WW II   US NAVY</t>
  </si>
  <si>
    <t>SGT PATRICK J BURKE</t>
  </si>
  <si>
    <t>1952 - 1955</t>
  </si>
  <si>
    <t>US ARMY - KOREA</t>
  </si>
  <si>
    <t>Patrick J. Burke</t>
  </si>
  <si>
    <t>TOWN OF ST. JAMES</t>
  </si>
  <si>
    <t>ESTABLISHED 1999</t>
  </si>
  <si>
    <t>Town of St. James</t>
  </si>
  <si>
    <t>DONALD A MATSCHE</t>
  </si>
  <si>
    <t>WE HONOR THOSE WHO</t>
  </si>
  <si>
    <t>Gary Matsche</t>
  </si>
  <si>
    <t>ST. JAMES TENNIS</t>
  </si>
  <si>
    <t>ASSOCIATION</t>
  </si>
  <si>
    <t>St. James Tennis Association</t>
  </si>
  <si>
    <t>HONORING YOUR SERVICE</t>
  </si>
  <si>
    <t>THE BENEDICT FAMILY</t>
  </si>
  <si>
    <t>JOHN-CSM-USA-WW II</t>
  </si>
  <si>
    <t>BRIAN-USN-VIETNAM</t>
  </si>
  <si>
    <t>Robert and Anne Benedict</t>
  </si>
  <si>
    <t>THE GERMAIN FAMILY</t>
  </si>
  <si>
    <t>ROGER-MSG-USA-WW II</t>
  </si>
  <si>
    <t>PHILIP-SGT-USA-RVN</t>
  </si>
  <si>
    <t>DEL SOL FAMILY</t>
  </si>
  <si>
    <t>SGT P DEL SOL  US ARMY</t>
  </si>
  <si>
    <t>Peter F. del Sol</t>
  </si>
  <si>
    <t>HONORING OUR FATHERS</t>
  </si>
  <si>
    <t>JAMES K  LITTLE  USMM</t>
  </si>
  <si>
    <t>JOHN NUENER  USN</t>
  </si>
  <si>
    <t>John and Connie Neuner</t>
  </si>
  <si>
    <t>WE HONOR YOUR</t>
  </si>
  <si>
    <t>THE HOKE FLYNT FAMILY</t>
  </si>
  <si>
    <t>Hoke Flynt</t>
  </si>
  <si>
    <t>CW5 PAUL S CREHAN</t>
  </si>
  <si>
    <t>1960 - 2001  USA RETIRED</t>
  </si>
  <si>
    <t>VIETNAM IRAQ MASSARNG</t>
  </si>
  <si>
    <t>YOU ARE NOT FORGOTTEN</t>
  </si>
  <si>
    <t>Paul J Crehan</t>
  </si>
  <si>
    <t>GEN DAN MCNEILL (RET)</t>
  </si>
  <si>
    <t>KEYNOTE SPEAKER</t>
  </si>
  <si>
    <t>DEDICATION CEREMONY</t>
  </si>
  <si>
    <t>St. James Armed Services Memorial Com</t>
  </si>
  <si>
    <t>WE THANK AND HONOR</t>
  </si>
  <si>
    <t>REGINA AND BARRY RYAN</t>
  </si>
  <si>
    <t>Barry and Reginas Ryan</t>
  </si>
  <si>
    <t>ROBERT J KEEGAN</t>
  </si>
  <si>
    <t>Ken Keegan</t>
  </si>
  <si>
    <t>SGT THOMAS O'DONNELL</t>
  </si>
  <si>
    <t>US ARMY  AUG 1966 - AUG 69</t>
  </si>
  <si>
    <t>CAN THO VIETNAM</t>
  </si>
  <si>
    <t>Tom O'Donnell</t>
  </si>
  <si>
    <t>SP4 NICHOLAS CUTINHA</t>
  </si>
  <si>
    <t>C49 INF 25 INF DIV</t>
  </si>
  <si>
    <t>MEDAL OF HONOR</t>
  </si>
  <si>
    <t>PVT JUNIUS JACKSON</t>
  </si>
  <si>
    <t>1 TROOP 9TH CAV</t>
  </si>
  <si>
    <t>SPANISH AMERICAN WAR</t>
  </si>
  <si>
    <t>BUFFALO SOLDIER</t>
  </si>
  <si>
    <t>JOHN T McINTYRE</t>
  </si>
  <si>
    <t>US AIR FORCE</t>
  </si>
  <si>
    <t>1958 - 1963</t>
  </si>
  <si>
    <t>John T. McIntyre</t>
  </si>
  <si>
    <t>LYLE (GENE) KATZ  USN</t>
  </si>
  <si>
    <t>BELOVED DAD &amp; GRANDPA</t>
  </si>
  <si>
    <t>1932 - 2005</t>
  </si>
  <si>
    <t>Deb Holly</t>
  </si>
  <si>
    <t>CORNELIUS M RIDNER</t>
  </si>
  <si>
    <t>SSG US ARMY</t>
  </si>
  <si>
    <t>MILITARY POLICE</t>
  </si>
  <si>
    <t>CHARLESTON SC  WW II</t>
  </si>
  <si>
    <t>Rebecca R. Cleary</t>
  </si>
  <si>
    <t>ROBERT H. TOMPKINS</t>
  </si>
  <si>
    <t>U S AIR FORCE</t>
  </si>
  <si>
    <t>STEPHEN REYNOLDS</t>
  </si>
  <si>
    <t>U S ARMY - VIETNAM</t>
  </si>
  <si>
    <t>Carol Reynolds</t>
  </si>
  <si>
    <t>DANIEL D. TOMPKINS</t>
  </si>
  <si>
    <t>1931 -1952</t>
  </si>
  <si>
    <t>KOREA  U.S. ARMY</t>
  </si>
  <si>
    <t>IN MEMORIAM</t>
  </si>
  <si>
    <t>MICHAEL E MIGLINO</t>
  </si>
  <si>
    <t>CAPTAIN US ARMY  WW II</t>
  </si>
  <si>
    <t>2 PURPLE HEARTS BRONZE</t>
  </si>
  <si>
    <t>STAR DAD OF L. LAPLACA</t>
  </si>
  <si>
    <t>Gary and Linda La Placa</t>
  </si>
  <si>
    <t>LCPL MATTHEW KNAPP</t>
  </si>
  <si>
    <t>PURPLE HEART</t>
  </si>
  <si>
    <t>Roger Wagner</t>
  </si>
  <si>
    <t>SIDNEY GELMAN WWII</t>
  </si>
  <si>
    <t>1926-2015</t>
  </si>
  <si>
    <t>Lt COL TERRY L MOORE</t>
  </si>
  <si>
    <t>USMC COMMANDO</t>
  </si>
  <si>
    <t>HALL OF HONOR</t>
  </si>
  <si>
    <t>JOHN HRIBAR</t>
  </si>
  <si>
    <t>JOHN ERTLSCHWEIGER</t>
  </si>
  <si>
    <t>COMMANDER USN</t>
  </si>
  <si>
    <t>ROBERT MCCASHIN</t>
  </si>
  <si>
    <t>CAPTAIN USMC</t>
  </si>
  <si>
    <t>BRONZE STAR</t>
  </si>
  <si>
    <t>GEORGE W ARNDT SR</t>
  </si>
  <si>
    <t>AUSTRIA</t>
  </si>
  <si>
    <t>202 MP CO WW II</t>
  </si>
  <si>
    <t>SALVATORE CALLESANO</t>
  </si>
  <si>
    <t>1925 - 2005 FATHER</t>
  </si>
  <si>
    <t>WORLD WAR II US ARMY</t>
  </si>
  <si>
    <t>BROOKLYN NEW YORK</t>
  </si>
  <si>
    <t>COLIN F FALKENSTEIN</t>
  </si>
  <si>
    <t>MAJOR US ARMY</t>
  </si>
  <si>
    <t>IRAQ THREE TOURS</t>
  </si>
  <si>
    <t>2 BRONZE STAR MEDALS</t>
  </si>
  <si>
    <t>VIRGINIA M REAMS</t>
  </si>
  <si>
    <t>SFC US ARMY WAC</t>
  </si>
  <si>
    <t>MADISON JAMES HALL</t>
  </si>
  <si>
    <t>CORPORAL US MARINES</t>
  </si>
  <si>
    <t>3D 2ND MAR UNIT 80145</t>
  </si>
  <si>
    <t>2015-2019</t>
  </si>
  <si>
    <t>ROBERT LOUIS CAMPBELL</t>
  </si>
  <si>
    <t>LT US NAVY</t>
  </si>
  <si>
    <t>KOREAN WAR</t>
  </si>
  <si>
    <t xml:space="preserve">FOREVER GRATEFUL </t>
  </si>
  <si>
    <t>THE PAGLIONE FAMILY</t>
  </si>
  <si>
    <t>IAN SCOTT CAMPBELL</t>
  </si>
  <si>
    <t>FAO/LT COLONEL</t>
  </si>
  <si>
    <t>USMC SCHOLAR</t>
  </si>
  <si>
    <t>ANDREW R SIMMONS</t>
  </si>
  <si>
    <t>RM WILLARD JR</t>
  </si>
  <si>
    <t xml:space="preserve">IN MEMORY OF OUR </t>
  </si>
  <si>
    <t>FRANK ELZNIC</t>
  </si>
  <si>
    <t>CAPTAIN</t>
  </si>
  <si>
    <t>US ARMY AAIR CORPS</t>
  </si>
  <si>
    <t>BOMBARDIER</t>
  </si>
  <si>
    <t>DOUG ELZNIC</t>
  </si>
  <si>
    <t>CAPTAIN US NAVY</t>
  </si>
  <si>
    <t>CIVIL ENGINEER CORPS</t>
  </si>
  <si>
    <t>SEABEE</t>
  </si>
  <si>
    <t>JOSEPH L DAMIANO</t>
  </si>
  <si>
    <t>AIC USAF</t>
  </si>
  <si>
    <t>THOMAS H GALLIGAN JR</t>
  </si>
  <si>
    <t xml:space="preserve">US COAST GUARD   </t>
  </si>
  <si>
    <t>Lois Galligan</t>
  </si>
  <si>
    <t>ROBERT L SANTA MARIA</t>
  </si>
  <si>
    <t>FIREMAN F1C US NAVY</t>
  </si>
  <si>
    <t>USS DAYTON</t>
  </si>
  <si>
    <t>EUROPE 1946-1950</t>
  </si>
  <si>
    <t>MICHAEL A LAMOTTA</t>
  </si>
  <si>
    <t>SERGEANT US ARMY</t>
  </si>
  <si>
    <t>312TH BATTALION</t>
  </si>
  <si>
    <t>Mike Kiel</t>
  </si>
  <si>
    <t>ROY MICHAEL ELLIOTT</t>
  </si>
  <si>
    <t>ARMY ENGINEER</t>
  </si>
  <si>
    <t>HUSBAND-FATHER-HERO</t>
  </si>
  <si>
    <t>RIP</t>
  </si>
  <si>
    <t>Carolyn Elliott</t>
  </si>
  <si>
    <t>PHILLIP E BLACKSTONE</t>
  </si>
  <si>
    <t>NOV 1944 - JAN 2020</t>
  </si>
  <si>
    <t>Bob Gavlick</t>
  </si>
  <si>
    <t>KARL W GRIFFITH</t>
  </si>
  <si>
    <t>AMM2 US NAVY 1944-45</t>
  </si>
  <si>
    <t>KARL S GRIFFITH</t>
  </si>
  <si>
    <t>CPT US ARMY 1970-75</t>
  </si>
  <si>
    <t>Karl S. Griffith</t>
  </si>
  <si>
    <t>SCHMAELING BROTHERS</t>
  </si>
  <si>
    <t>FRANK JOSEPH PETER</t>
  </si>
  <si>
    <t>USA USCG USCG</t>
  </si>
  <si>
    <t>WWII</t>
  </si>
  <si>
    <t>Patricia Kunzier</t>
  </si>
  <si>
    <t>PAUL A HERING 1LT</t>
  </si>
  <si>
    <t>B29 NAVIGATOR</t>
  </si>
  <si>
    <t>PACIFIC WWII 1942</t>
  </si>
  <si>
    <t>US ARMY AIR CORPS</t>
  </si>
  <si>
    <t>Judy Pichette</t>
  </si>
  <si>
    <t>WILLIAM R RIEKERT</t>
  </si>
  <si>
    <t xml:space="preserve">US NAVY </t>
  </si>
  <si>
    <t>THOMAS H GALLIGAN SR</t>
  </si>
  <si>
    <t xml:space="preserve">US ARMY AIR CORPS   </t>
  </si>
  <si>
    <t>AIR MEDAl</t>
  </si>
  <si>
    <t>BURTON A HOFFMAN</t>
  </si>
  <si>
    <t>LCDR US NAVY</t>
  </si>
  <si>
    <t>WWI KOREAN WAR PILOT</t>
  </si>
  <si>
    <t>KIA</t>
  </si>
  <si>
    <t>Cynthia, Don Lauren, Broome</t>
  </si>
  <si>
    <t>JACK WARD LCDR</t>
  </si>
  <si>
    <t>NAVAL AVIATION</t>
  </si>
  <si>
    <t>US NAVY 1975-1994</t>
  </si>
  <si>
    <t>EA-68 PROWLER</t>
  </si>
  <si>
    <t>Mark and Connie Zaengleen</t>
  </si>
  <si>
    <t>HENRY N PEPPE</t>
  </si>
  <si>
    <t>STAFF SERGEANT US ARMY</t>
  </si>
  <si>
    <t>PEARL HARBOR SURVIVOR</t>
  </si>
  <si>
    <t>CAPT DAVID W PARSONS</t>
  </si>
  <si>
    <t>US NAVAL ACADEMY 69</t>
  </si>
  <si>
    <t>US NAVY 1969-2000</t>
  </si>
  <si>
    <t>SPEC OPS HELO PILOT</t>
  </si>
  <si>
    <t>JOHN SCOTT HOFFMAN</t>
  </si>
  <si>
    <t>COMMANDER US NAVY</t>
  </si>
  <si>
    <t>GULF WAR TOP GUN</t>
  </si>
  <si>
    <t>F-18 FA-16 PILOT</t>
  </si>
  <si>
    <t>CHERYL A MCGUIRE</t>
  </si>
  <si>
    <t>SERVING OUR TROOPS</t>
  </si>
  <si>
    <t>ST JAMES NC</t>
  </si>
  <si>
    <t>Don McGuire</t>
  </si>
  <si>
    <t>GEORGE F BLAIR</t>
  </si>
  <si>
    <t>E5 NJAIRNG</t>
  </si>
  <si>
    <t>50TH ARMORED DIVISION</t>
  </si>
  <si>
    <t>1965-1971</t>
  </si>
  <si>
    <t>AUSTIN MURGA 1994-20</t>
  </si>
  <si>
    <t>CPT 82ND ABN RANGER</t>
  </si>
  <si>
    <t>AFGHANISTAN</t>
  </si>
  <si>
    <t>OUR PTSD WARRIOR</t>
  </si>
  <si>
    <t>Kein Murga</t>
  </si>
  <si>
    <t>GARY A KURUTZ</t>
  </si>
  <si>
    <t>SFM3</t>
  </si>
  <si>
    <t>US NAVY 1963-1969</t>
  </si>
  <si>
    <t>USS ALBANY CG10</t>
  </si>
  <si>
    <t>Linda Kurutz</t>
  </si>
  <si>
    <t>JOHN D GREGORY</t>
  </si>
  <si>
    <t>LIEUTENANT US ARMY</t>
  </si>
  <si>
    <t>LOVING HUSBAND</t>
  </si>
  <si>
    <t>AND FATHER</t>
  </si>
  <si>
    <t>Barbara Gregory</t>
  </si>
  <si>
    <t>CDR JAMES H COFER</t>
  </si>
  <si>
    <t>USNR RETIRED</t>
  </si>
  <si>
    <t>USS FREMONT APA-44</t>
  </si>
  <si>
    <t>India M Cofer</t>
  </si>
  <si>
    <t>DENNIS SAMUEL BUTLER</t>
  </si>
  <si>
    <t>AIR FORCE</t>
  </si>
  <si>
    <t>1961-1965</t>
  </si>
  <si>
    <t>GILBERT R FREEMAN</t>
  </si>
  <si>
    <t>MAJOR 93RD BOMB WING</t>
  </si>
  <si>
    <t>RONALD W HOPKINS</t>
  </si>
  <si>
    <t>SP5 US ARMY</t>
  </si>
  <si>
    <t>VIETNAM 1968-69</t>
  </si>
  <si>
    <t>Butch and Linda Hopkins</t>
  </si>
  <si>
    <t>WILLIAM E HACKETT</t>
  </si>
  <si>
    <t>ARMY ARTILLERY FDC</t>
  </si>
  <si>
    <t>ONE MAN'S SACRIFICE</t>
  </si>
  <si>
    <t>VIETNAM 1970</t>
  </si>
  <si>
    <t>Patricia King</t>
  </si>
  <si>
    <t xml:space="preserve">IN HONOR OF </t>
  </si>
  <si>
    <t>AUGUST R ELKINS II</t>
  </si>
  <si>
    <t>LT COL US AIR FORCE</t>
  </si>
  <si>
    <t>A NOBLE WARRIOR</t>
  </si>
  <si>
    <t>Mary Elkins</t>
  </si>
  <si>
    <t>RACHEL (KIM) FREEMAN</t>
  </si>
  <si>
    <t>SECTION OFFICER</t>
  </si>
  <si>
    <t>FIGHTER COMMAND</t>
  </si>
  <si>
    <t>ROYAL AIR FORCE WWII</t>
  </si>
  <si>
    <t>WILLIAM A DRISKILL</t>
  </si>
  <si>
    <t>1954-1956</t>
  </si>
  <si>
    <t>Alice Driskill</t>
  </si>
  <si>
    <t>SALVATORE J VALENTE</t>
  </si>
  <si>
    <t>USMC WWII</t>
  </si>
  <si>
    <t>BELOVED FATHER</t>
  </si>
  <si>
    <t>Joanne Valente</t>
  </si>
  <si>
    <t>MAJ SPENCER PROPST</t>
  </si>
  <si>
    <t>CAPT PARKER PROPST</t>
  </si>
  <si>
    <t>ENS COLIN PROBST</t>
  </si>
  <si>
    <t>SERVING US ALL - 2020</t>
  </si>
  <si>
    <t>Tom Probst</t>
  </si>
  <si>
    <t>DAN A SHIRMER</t>
  </si>
  <si>
    <t>CDR US NAVY</t>
  </si>
  <si>
    <t>IN LOVING MEMORY</t>
  </si>
  <si>
    <t>BRUCE M FREEMAN</t>
  </si>
  <si>
    <t>COLONEL US AIR OFRCE</t>
  </si>
  <si>
    <t>DEFENSE DIS SVC MEDAL</t>
  </si>
  <si>
    <t>SILVER STAR 1963-1997</t>
  </si>
  <si>
    <t>NOEL J CHISOLM</t>
  </si>
  <si>
    <t>Tory Chisolm</t>
  </si>
  <si>
    <t>GEOEGE E FOLEY</t>
  </si>
  <si>
    <t>TSGT</t>
  </si>
  <si>
    <t>9TH ARMY AIR FORCE</t>
  </si>
  <si>
    <t>WORLD WAR II EUROPE</t>
  </si>
  <si>
    <t>Bruce Foley</t>
  </si>
  <si>
    <t>SAMUEL J GRECO</t>
  </si>
  <si>
    <t>WWII USS SARATOGA</t>
  </si>
  <si>
    <t>Steve Muir</t>
  </si>
  <si>
    <t>US NAVY WWII</t>
  </si>
  <si>
    <t>1942-1946</t>
  </si>
  <si>
    <t>USS SARATOGA</t>
  </si>
  <si>
    <t>Michael Montefusco</t>
  </si>
  <si>
    <t>DENNIS J BARCLAY</t>
  </si>
  <si>
    <t>US ARMY CORPORAL</t>
  </si>
  <si>
    <t>YOUR LOVING WIFE</t>
  </si>
  <si>
    <t>Mary Barclay</t>
  </si>
  <si>
    <t>THOMAS A PICINICH</t>
  </si>
  <si>
    <t>SPEC/5 US ARMY ALASKA</t>
  </si>
  <si>
    <t>AIR DEFENSE RADAR</t>
  </si>
  <si>
    <t>REPAIRMAN JUNE 68-71</t>
  </si>
  <si>
    <t>JACOB M ABELSON</t>
  </si>
  <si>
    <t>CPL US ARMY WWII</t>
  </si>
  <si>
    <t xml:space="preserve">PURPLE HEART   </t>
  </si>
  <si>
    <t>01/15/1912 11/18/1978</t>
  </si>
  <si>
    <t>Arthur Abelson</t>
  </si>
  <si>
    <t>LEBIEDNIK FAMILY</t>
  </si>
  <si>
    <t>Alan Lebiednik</t>
  </si>
  <si>
    <t>CAPT GEORGE GRIFFITHS</t>
  </si>
  <si>
    <t>B24 PILOT WWII 446 ARMY</t>
  </si>
  <si>
    <t>AIR CORPS SQUADRON 705</t>
  </si>
  <si>
    <t>IN MEMORY OF MY DAD</t>
  </si>
  <si>
    <t>Gail Griffiths Murray</t>
  </si>
  <si>
    <t>JAMES HERBERT LYLE</t>
  </si>
  <si>
    <t>SGT US ARMY AIR CORPS</t>
  </si>
  <si>
    <t>SAIPAN AIRFIELD</t>
  </si>
  <si>
    <t>WORLD WAY 2</t>
  </si>
  <si>
    <t>Sam Lytle</t>
  </si>
  <si>
    <t>AL S GAVEGAN</t>
  </si>
  <si>
    <t>Judy Freeman</t>
  </si>
  <si>
    <t>CHARLES J ROSOLIE</t>
  </si>
  <si>
    <t>SGT 955th F.A.</t>
  </si>
  <si>
    <t>William Rosolig</t>
  </si>
  <si>
    <t>THOMAS R MILLER</t>
  </si>
  <si>
    <t>ARMY FORT GORDON GA</t>
  </si>
  <si>
    <t>COMM CEN SPEC/4</t>
  </si>
  <si>
    <t>JAN66 - JAN72</t>
  </si>
  <si>
    <t>Thomas R Miller</t>
  </si>
  <si>
    <t>THEODOR RATTIE</t>
  </si>
  <si>
    <t>US ARMY WWII</t>
  </si>
  <si>
    <t>HENRY FLAGGE</t>
  </si>
  <si>
    <t>EM2 USN LST-703</t>
  </si>
  <si>
    <t>WWII PACIFIC THEATER</t>
  </si>
  <si>
    <t>LEYTE GULF &amp; BORNEO</t>
  </si>
  <si>
    <t>DARLY De Serio</t>
  </si>
  <si>
    <t>CARTON - DICKINSON</t>
  </si>
  <si>
    <t>HALL - NOWLIN</t>
  </si>
  <si>
    <t>SCHNIDT</t>
  </si>
  <si>
    <t>FAMILY DEDICATION</t>
  </si>
  <si>
    <t>Michael Carton</t>
  </si>
  <si>
    <t>RYAN P SCHNEPF USAF</t>
  </si>
  <si>
    <t>PROUD DAD TO</t>
  </si>
  <si>
    <t>NICOLAS J SCHNEPF</t>
  </si>
  <si>
    <t>MICHAEL J SCHNEPF</t>
  </si>
  <si>
    <t>Carl = Martjo Schnepf</t>
  </si>
  <si>
    <t>JAMES J TANGNEY JR</t>
  </si>
  <si>
    <t xml:space="preserve">CAPTAIN US ARMY </t>
  </si>
  <si>
    <t>Francine Foley</t>
  </si>
  <si>
    <t>BRUCE V BLOMGREN</t>
  </si>
  <si>
    <t>LT USNR</t>
  </si>
  <si>
    <t>FAIR WINDS AND</t>
  </si>
  <si>
    <t>FOLLOWING SEAS</t>
  </si>
  <si>
    <t>Bruce Blomgren</t>
  </si>
  <si>
    <t>JUSTIN L SISSON</t>
  </si>
  <si>
    <t>2LT US ARMY</t>
  </si>
  <si>
    <t>AFGHANISTAN/IRAQ</t>
  </si>
  <si>
    <t>BELOVED SON</t>
  </si>
  <si>
    <t>Scott S Peters</t>
  </si>
  <si>
    <t>JOHN SHULICK</t>
  </si>
  <si>
    <t>CAPT US NAVY</t>
  </si>
  <si>
    <t>RETIRED 1955-1986</t>
  </si>
  <si>
    <t>Judy Shullick</t>
  </si>
  <si>
    <t>GUY WALLACE HAGER</t>
  </si>
  <si>
    <t>LT US NAVY RESERVE</t>
  </si>
  <si>
    <t>VIETNAM/RIVERINE</t>
  </si>
  <si>
    <t>USS GARRET CTY LST786</t>
  </si>
  <si>
    <t>Guy w Hager</t>
  </si>
  <si>
    <t>JOHN PETER HAGER</t>
  </si>
  <si>
    <t>HMG SS US NAVY</t>
  </si>
  <si>
    <t>WWII/KOREA</t>
  </si>
  <si>
    <t>USS ICEFISH CMD</t>
  </si>
  <si>
    <t>GUY LEONARD WALLACE</t>
  </si>
  <si>
    <t>PFC USMCR WWII 2DIV</t>
  </si>
  <si>
    <t>TARAWA/SAIPAN</t>
  </si>
  <si>
    <t>PURPLE HEART/KIA</t>
  </si>
  <si>
    <t>WILLIAM WALLER</t>
  </si>
  <si>
    <t>US ARMY WORLD WAR II</t>
  </si>
  <si>
    <t>IN MEMORY OF YOU DAD</t>
  </si>
  <si>
    <t>THE KNAPIK FAMILY</t>
  </si>
  <si>
    <t>Phill Knapik</t>
  </si>
  <si>
    <t>JOSEPH KNAPIK</t>
  </si>
  <si>
    <t>BILL PERRY</t>
  </si>
  <si>
    <t>U.S. ARMY SERGEANT</t>
  </si>
  <si>
    <t>WWII NORTH AFRICA</t>
  </si>
  <si>
    <t>David Perry</t>
  </si>
  <si>
    <t>JOHN KIDNEY</t>
  </si>
  <si>
    <t>CWO USA</t>
  </si>
  <si>
    <t>Patricia Kidney</t>
  </si>
  <si>
    <t>ROBERT E VINCENT</t>
  </si>
  <si>
    <t>US NABY LST 212</t>
  </si>
  <si>
    <t>NORMANDY INVASION</t>
  </si>
  <si>
    <t xml:space="preserve"> </t>
  </si>
  <si>
    <t>Kevin Vincent</t>
  </si>
  <si>
    <t>PFC KEIRNAN VINCENT</t>
  </si>
  <si>
    <t xml:space="preserve">2 PURPLE HEARTS   </t>
  </si>
  <si>
    <t>NAVY CROSS</t>
  </si>
  <si>
    <t>MSG W D RHODES DUSTY</t>
  </si>
  <si>
    <t>NAVY/AIR FORCE/ARMY</t>
  </si>
  <si>
    <t>WWII/KOREA/ENDOCHINA</t>
  </si>
  <si>
    <t>MAC V SOG</t>
  </si>
  <si>
    <t>John T. Rhodes</t>
  </si>
  <si>
    <t>JOHN T RHODES DUSTY</t>
  </si>
  <si>
    <t>VIETNAM ERA VETERAN</t>
  </si>
  <si>
    <t>NAVY / CAMP LEJEUNE</t>
  </si>
  <si>
    <t>2ND MARINE /HQ/HQ CO</t>
  </si>
  <si>
    <t>John Rhodes</t>
  </si>
  <si>
    <t>THOMAS R LIPPARD III</t>
  </si>
  <si>
    <t>Marilyn Lippard</t>
  </si>
  <si>
    <t>CDR THOMAS P BELL</t>
  </si>
  <si>
    <t>JAGC US NAVY</t>
  </si>
  <si>
    <t>LT MARIANNE C BELL</t>
  </si>
  <si>
    <t>USNNC USNR</t>
  </si>
  <si>
    <t>Maryanne Bell</t>
  </si>
  <si>
    <t>KAREN BURGESS ROSE</t>
  </si>
  <si>
    <t>FOUNDER DOGWOOD CHAP</t>
  </si>
  <si>
    <t>GOLD STAR MOTHERS</t>
  </si>
  <si>
    <t>1947 - 2012</t>
  </si>
  <si>
    <t>Alfred Rose</t>
  </si>
  <si>
    <t>SSGT SCOTT C ROSE</t>
  </si>
  <si>
    <t>101ST AIRBORNE</t>
  </si>
  <si>
    <t>KIA 7 NOV 2003</t>
  </si>
  <si>
    <t>TIKRIT IRAQ UH6026431</t>
  </si>
  <si>
    <t>EDWARD JENKINS HUNN</t>
  </si>
  <si>
    <t>US ARMY AIR CORP WWII</t>
  </si>
  <si>
    <t>LANDED NORMANY FR.</t>
  </si>
  <si>
    <t>Bill Mifflin</t>
  </si>
  <si>
    <t>JOSEPH D CLARK</t>
  </si>
  <si>
    <t xml:space="preserve">SGT US ARMY  </t>
  </si>
  <si>
    <t>NEVER TO BE FORGOTTEN</t>
  </si>
  <si>
    <t>William Clark</t>
  </si>
  <si>
    <t>JOHN H PICCOLI</t>
  </si>
  <si>
    <t xml:space="preserve">US ARMY </t>
  </si>
  <si>
    <t>Margaret Zulkowsky</t>
  </si>
  <si>
    <t>MARIO PICCOLI</t>
  </si>
  <si>
    <t>WWII 1944-1946</t>
  </si>
  <si>
    <t>KOREA WAR 1951-1952</t>
  </si>
  <si>
    <t>WILLIAM W MIFFLIN</t>
  </si>
  <si>
    <t>US ARMY AIRCORP WWII</t>
  </si>
  <si>
    <t>BERNICE SPRIGG HUNN</t>
  </si>
  <si>
    <t>RICHARD J LEFRANCOIS</t>
  </si>
  <si>
    <t>US ARMY VETERAN</t>
  </si>
  <si>
    <t>STRENGTH HONOR TRUTH</t>
  </si>
  <si>
    <t>Jan Lefrancois</t>
  </si>
  <si>
    <t>HENRY JOHN STEFFENS</t>
  </si>
  <si>
    <t>CPT US ARMY</t>
  </si>
  <si>
    <t>HE IS SORELY MISSED</t>
  </si>
  <si>
    <t>Judith Steffens</t>
  </si>
  <si>
    <t>JOHN ZULKOWSKY</t>
  </si>
  <si>
    <t>HQ DET SHAEF</t>
  </si>
  <si>
    <t>US ARMY 1942-1945</t>
  </si>
  <si>
    <t>ROBERT BUTLER</t>
  </si>
  <si>
    <t>ARMY WWII</t>
  </si>
  <si>
    <t>HELEN BUTLER</t>
  </si>
  <si>
    <t>NAVY WAVES WWII</t>
  </si>
  <si>
    <t>Elaine O'Donnell</t>
  </si>
  <si>
    <t>CAPT. CARL D. SORESI</t>
  </si>
  <si>
    <t>USMC '86-89' SOLDIER</t>
  </si>
  <si>
    <t>HUSBAND FRIEND</t>
  </si>
  <si>
    <t>Nancy Mannix</t>
  </si>
  <si>
    <t>GERALD E. SCHULTZ, MD</t>
  </si>
  <si>
    <t>ENS, USNR WWII</t>
  </si>
  <si>
    <t>Marybeth Reed</t>
  </si>
  <si>
    <t>RAFAEL DIEPPA</t>
  </si>
  <si>
    <t>SGT US ARMY</t>
  </si>
  <si>
    <t>Ismael R Dieppa</t>
  </si>
  <si>
    <t>ROBERT L. SULLINS</t>
  </si>
  <si>
    <t>CDR US COAST GUARD</t>
  </si>
  <si>
    <t>Gary Sullins</t>
  </si>
  <si>
    <t>THOMAS G. PATERSON</t>
  </si>
  <si>
    <t>THANK YOU DAD</t>
  </si>
  <si>
    <t>Tom Patterson</t>
  </si>
  <si>
    <t>JOSEPH L. CZVORNYEK</t>
  </si>
  <si>
    <t>20 YRS DEDICATED SERV</t>
  </si>
  <si>
    <t>NAS LAKEHURST NJ</t>
  </si>
  <si>
    <t>Connie Hellmer</t>
  </si>
  <si>
    <t>WALTER FIERTL</t>
  </si>
  <si>
    <t>USMC 5658</t>
  </si>
  <si>
    <t>Robin Rengstorff</t>
  </si>
  <si>
    <t>WILLIAM F MAHER</t>
  </si>
  <si>
    <t>1925 - 1962</t>
  </si>
  <si>
    <t>CPL 2123 AAF</t>
  </si>
  <si>
    <t>Theresa Maher Sylvester</t>
  </si>
  <si>
    <t>JOHN L MOORE JR</t>
  </si>
  <si>
    <t>3RD CLASS PETTY OFF</t>
  </si>
  <si>
    <t>CTM 1956 - 1960</t>
  </si>
  <si>
    <t>KAMISEYA JAPAN</t>
  </si>
  <si>
    <t>Lois Moore</t>
  </si>
  <si>
    <t>EARL GILKESON</t>
  </si>
  <si>
    <t>ARMY ENGINEER CORPS</t>
  </si>
  <si>
    <t>MANHATTAN PROJECT</t>
  </si>
  <si>
    <t>Jean Toner</t>
  </si>
  <si>
    <t>DANIEL F CRONIN</t>
  </si>
  <si>
    <t>LT US ARMY</t>
  </si>
  <si>
    <t>VIETNAM 1966 - 1969</t>
  </si>
  <si>
    <t>BRONZE STAR 3V</t>
  </si>
  <si>
    <t>Daniel Cronin</t>
  </si>
  <si>
    <t>MICHAEL G. DANIELS</t>
  </si>
  <si>
    <t>SGT US ARMY VIETNAM</t>
  </si>
  <si>
    <t>2 BRONZE STARS 2 PURPLE HEARTS</t>
  </si>
  <si>
    <t>COMBAT INFANTRYMAN</t>
  </si>
  <si>
    <t>Courtney Rorrer</t>
  </si>
  <si>
    <t>PHILLIP E. MCGHEE</t>
  </si>
  <si>
    <t>MAJ GEN</t>
  </si>
  <si>
    <t>OIF/OEF</t>
  </si>
  <si>
    <t>Phillip McGhee</t>
  </si>
  <si>
    <t>WILLIAM G. SYLVESTER</t>
  </si>
  <si>
    <t>SGT US ARMY AIR FORCE</t>
  </si>
  <si>
    <t>MAY 1920 - MAR 2021</t>
  </si>
  <si>
    <t>Robert Sylvester</t>
  </si>
  <si>
    <t>JAMES D. FLANIGAN</t>
  </si>
  <si>
    <t>MAJOR USMC</t>
  </si>
  <si>
    <t>GLOBAL WAR ON TERROR</t>
  </si>
  <si>
    <t>SERVED 2008 - 2022</t>
  </si>
  <si>
    <t>PHILIP J. REILLY</t>
  </si>
  <si>
    <t>1ST LT US ARMY</t>
  </si>
  <si>
    <t>Denise Brenner</t>
  </si>
  <si>
    <t>EDWARD J. MURPHY</t>
  </si>
  <si>
    <t>LT USNR WWII</t>
  </si>
  <si>
    <t>ATLANTIC MED MID EAST</t>
  </si>
  <si>
    <t>USN ARMED GUARD OIC</t>
  </si>
  <si>
    <t>Robert E. Murphy</t>
  </si>
  <si>
    <t>JOSEPH ALOYSIUS KEEFE</t>
  </si>
  <si>
    <t>S1/C USN WWII PACIFIC</t>
  </si>
  <si>
    <t>USS HANCOCK CV19</t>
  </si>
  <si>
    <t>PLANK OWNER</t>
  </si>
  <si>
    <t>JAMES ROSADINO</t>
  </si>
  <si>
    <t>US ARMY VIETNAM</t>
  </si>
  <si>
    <t>ERIC DAY</t>
  </si>
  <si>
    <t>James Rosidino</t>
  </si>
  <si>
    <t xml:space="preserve">IN LOVING MEMORY   </t>
  </si>
  <si>
    <t>CHARLES E MCCAULEY JR</t>
  </si>
  <si>
    <t>COLD WAR WARRIOR</t>
  </si>
  <si>
    <t>US ARMY ALASKA</t>
  </si>
  <si>
    <t>Anne McCauley</t>
  </si>
  <si>
    <t>JODEPH E DAMATO</t>
  </si>
  <si>
    <t>PURPLE HEART 1969</t>
  </si>
  <si>
    <t>US ARMY 1ST INF</t>
  </si>
  <si>
    <t>THANK YOU! LOVE YOU!</t>
  </si>
  <si>
    <t>Cynthia Fallon, Joseph Damato</t>
  </si>
  <si>
    <t>MICHAEL P KELLY</t>
  </si>
  <si>
    <t>Stephanie Laptosh</t>
  </si>
  <si>
    <t>HENRY A FANELLI</t>
  </si>
  <si>
    <t>WWI</t>
  </si>
  <si>
    <t>TAYLOR RYAN 1962-72</t>
  </si>
  <si>
    <t>COMPANY CMDR - !LT</t>
  </si>
  <si>
    <t>ARMY SIGNAL CORPS</t>
  </si>
  <si>
    <t>LANG SIGNAL CORPS</t>
  </si>
  <si>
    <t>J. Taylor Ryan</t>
  </si>
  <si>
    <t>VINCE W CHIRDON</t>
  </si>
  <si>
    <t>CWO3 US NAVY</t>
  </si>
  <si>
    <t>Charles Franka</t>
  </si>
  <si>
    <t>CHARLES D FRANCKA</t>
  </si>
  <si>
    <t>TSGT US AIR FORCE</t>
  </si>
  <si>
    <t>DESERT SHIELD STORM</t>
  </si>
  <si>
    <t xml:space="preserve">WAR ON TERROR  </t>
  </si>
  <si>
    <t>KENNETH D FRANCKA</t>
  </si>
  <si>
    <t xml:space="preserve">PFC US ARMY    </t>
  </si>
  <si>
    <t>RAYMOND W KELLY</t>
  </si>
  <si>
    <t>PCT 1C US ARMY</t>
  </si>
  <si>
    <t>EAMET WWII</t>
  </si>
  <si>
    <t>BRONZE STAR OAK LEAF</t>
  </si>
  <si>
    <t>DOUGLAS R BRIS-BOIS</t>
  </si>
  <si>
    <t>MEDIC US ARMY</t>
  </si>
  <si>
    <t>THANK YOU BROTHER</t>
  </si>
  <si>
    <t>Charles P. Bris-Bois Jr</t>
  </si>
  <si>
    <t>MICHAEL D GARNER</t>
  </si>
  <si>
    <t>Joseph Kinzer</t>
  </si>
  <si>
    <t>RICHARD D. MEYER</t>
  </si>
  <si>
    <t>AVIATOR</t>
  </si>
  <si>
    <t>WE LOVE YOU DAD</t>
  </si>
  <si>
    <t>Shannon Simpson</t>
  </si>
  <si>
    <t>SHAWN P MCGHEE</t>
  </si>
  <si>
    <t xml:space="preserve">LT COL   </t>
  </si>
  <si>
    <t>IRAQ/AFGHANISTAN</t>
  </si>
  <si>
    <t>B52H BOMBER PILOT</t>
  </si>
  <si>
    <t>NICHOLAS R DIONISIO</t>
  </si>
  <si>
    <t>82ND AIRBORNE</t>
  </si>
  <si>
    <t>Kim Dionisio</t>
  </si>
  <si>
    <t>CAPE FEAR BLUE STAR</t>
  </si>
  <si>
    <t>MOTHERS</t>
  </si>
  <si>
    <t>CORP JAMES P CORBETT</t>
  </si>
  <si>
    <t>FOX COMPANY</t>
  </si>
  <si>
    <t>2ND BN 8TH MARINES</t>
  </si>
  <si>
    <t>PH SAIPAN JUNE 1944</t>
  </si>
  <si>
    <t>Tom Corbett</t>
  </si>
  <si>
    <t>PFC MARIO LANZA</t>
  </si>
  <si>
    <t>BATTERY A</t>
  </si>
  <si>
    <t>132 AAA GUN BATTALION</t>
  </si>
  <si>
    <t>CSM THOMAS B CORBETT</t>
  </si>
  <si>
    <t>SPECIAL FORCES REGT</t>
  </si>
  <si>
    <t>DSM SS BSV PH</t>
  </si>
  <si>
    <t>FROM RVN TO SOMALIA</t>
  </si>
  <si>
    <t>SETH ELLIOTT HOWARD</t>
  </si>
  <si>
    <t xml:space="preserve">SFC US ARMY  </t>
  </si>
  <si>
    <t>Diane P Howard</t>
  </si>
  <si>
    <t>INGRID L STRATEMAN</t>
  </si>
  <si>
    <t>CAPT US ARMY NURSE</t>
  </si>
  <si>
    <t>12TH EVAC HOSPITAL</t>
  </si>
  <si>
    <t>3RD ARMY WWII EUROPE</t>
  </si>
  <si>
    <t>Cathy Kelleher</t>
  </si>
  <si>
    <t>CHARLES M. STRATEMAN</t>
  </si>
  <si>
    <t>CAPT US ARMY SURGEON</t>
  </si>
  <si>
    <t>12TH EVAL HOSPITAL</t>
  </si>
  <si>
    <t>DOUGLAS H HAWES</t>
  </si>
  <si>
    <t>SPL WEAPONS</t>
  </si>
  <si>
    <t>VIETNAM ERA 63-67</t>
  </si>
  <si>
    <t>Doug Hawes</t>
  </si>
  <si>
    <t>GEORGE J ROBERTS</t>
  </si>
  <si>
    <t>SFC US ARMY</t>
  </si>
  <si>
    <t>KOREA/VIETNAM</t>
  </si>
  <si>
    <t>EDWARD L MCGHEE</t>
  </si>
  <si>
    <t>KOREA/VIETNAM/DOMREP</t>
  </si>
  <si>
    <t>HOWARD C HESSIE</t>
  </si>
  <si>
    <t>SGT US MARINE CORPS</t>
  </si>
  <si>
    <t>VIETNAM 1967-1970</t>
  </si>
  <si>
    <t>Sonja Boyce</t>
  </si>
  <si>
    <t>RALPH C HASSARD</t>
  </si>
  <si>
    <t xml:space="preserve">USAF - KOREA  </t>
  </si>
  <si>
    <t>A LIFE WELL LIVED</t>
  </si>
  <si>
    <t>WITH LOVE - YOUR FAMILY</t>
  </si>
  <si>
    <t>TERRENCE L MOORE</t>
  </si>
  <si>
    <t>LT. COL US MARINES</t>
  </si>
  <si>
    <t>VIETNAM FIVE TOURS</t>
  </si>
  <si>
    <t>COMMANDO HALL OF FAME</t>
  </si>
  <si>
    <t>Gary and Cheryl Matsche</t>
  </si>
  <si>
    <t>NORBERT N MUELLER</t>
  </si>
  <si>
    <t>SGT US AIR FORCE</t>
  </si>
  <si>
    <t>OKINAWA 1947-1950</t>
  </si>
  <si>
    <t>PROUD VETERAN</t>
  </si>
  <si>
    <t>Aaron Largent</t>
  </si>
  <si>
    <t>THE MATTHEWS FAMILY</t>
  </si>
  <si>
    <t>MASONRY FOR MILITARY</t>
  </si>
  <si>
    <t>Paul Matthews</t>
  </si>
  <si>
    <t>BURNS FAMILY</t>
  </si>
  <si>
    <t>Stephen Burns</t>
  </si>
  <si>
    <t>CWO3 THEARON M CROSS</t>
  </si>
  <si>
    <t>HELICOPTER PILOT</t>
  </si>
  <si>
    <t>KOREA AND VIETNAM</t>
  </si>
  <si>
    <t>Wayne Cross</t>
  </si>
  <si>
    <t>ROY EDWARD MOREE</t>
  </si>
  <si>
    <t>OF YOUR SERVICE</t>
  </si>
  <si>
    <t>Rhoda Cross</t>
  </si>
  <si>
    <t>ROGER M THOMAS</t>
  </si>
  <si>
    <t>FIRST LIEUTENANT</t>
  </si>
  <si>
    <t>Helen Cressy</t>
  </si>
  <si>
    <t>WILLIAM MICHAEL ROSS</t>
  </si>
  <si>
    <t>3RD/FSR 2/2 MARINES</t>
  </si>
  <si>
    <t>William Ross</t>
  </si>
  <si>
    <t>FREAR A SAMPLES</t>
  </si>
  <si>
    <t xml:space="preserve">CPL US ARMY  </t>
  </si>
  <si>
    <t>33 DIV/124 FA GUNNER</t>
  </si>
  <si>
    <t>1941-1943</t>
  </si>
  <si>
    <t>JOHN F BAUMAN</t>
  </si>
  <si>
    <t>WWII BATTLE OF LUZON</t>
  </si>
  <si>
    <t>EDWARD F SCHOFIELD</t>
  </si>
  <si>
    <t>Chris Halladay</t>
  </si>
  <si>
    <t>ARTHUR TROTTA</t>
  </si>
  <si>
    <t>82ND AIR BORNE</t>
  </si>
  <si>
    <t>1964-1967</t>
  </si>
  <si>
    <t>DOUGLAS A.  BALL</t>
  </si>
  <si>
    <t>12/23/43 - 03/16/21</t>
  </si>
  <si>
    <t>Janet Ball</t>
  </si>
  <si>
    <t>MIKE FEGAN</t>
  </si>
  <si>
    <t>PROUD AMERICAN</t>
  </si>
  <si>
    <t>Susan Fegan</t>
  </si>
  <si>
    <t>RAY RAYNOR</t>
  </si>
  <si>
    <t>VIETNAM ERA</t>
  </si>
  <si>
    <t>Gail Bess-Raynor</t>
  </si>
  <si>
    <t>RODNEY L JOHNSON</t>
  </si>
  <si>
    <t>BG U.S. ARMY</t>
  </si>
  <si>
    <t>MILITARY POLICE CORPS</t>
  </si>
  <si>
    <t>MARSHA JOHNSON</t>
  </si>
  <si>
    <t>SPENCER T. JOHNSON</t>
  </si>
  <si>
    <t>MAJOR U.S. ARMY</t>
  </si>
  <si>
    <t xml:space="preserve">IRAQ </t>
  </si>
  <si>
    <t>JOHN F. BUTLER</t>
  </si>
  <si>
    <t>CAPTAIN U.S. ARMY</t>
  </si>
  <si>
    <t>ANZIO ITALY</t>
  </si>
  <si>
    <t>JOHN BUTLER</t>
  </si>
  <si>
    <t>KENNETH L. SCHLAMP, USN</t>
  </si>
  <si>
    <t>ALLAN L. MACDONALD, CDN</t>
  </si>
  <si>
    <t>THANKS FOR SERVING</t>
  </si>
  <si>
    <t>DOROTHY &amp; STEVE SCHLAMP</t>
  </si>
  <si>
    <t>STEPHEN KENNETH SCHLAMP</t>
  </si>
  <si>
    <t>A TRUE PATRIOT</t>
  </si>
  <si>
    <t>AND ROLE MODEL</t>
  </si>
  <si>
    <t>DENNIS J. CUNNINGHAM</t>
  </si>
  <si>
    <t>PVT US ARMY1962 64</t>
  </si>
  <si>
    <t>MARJORIE BURNSIDE</t>
  </si>
  <si>
    <t>ASHLEY JOHNSON GREEN</t>
  </si>
  <si>
    <t>CPT U.S. ARMY</t>
  </si>
  <si>
    <t>NEAL GREEN</t>
  </si>
  <si>
    <t>LTC U.S. ARMY</t>
  </si>
  <si>
    <t>FRANCIS C. DEVLIN</t>
  </si>
  <si>
    <t>TECS U.S. ARMY</t>
  </si>
  <si>
    <t>GUADALCANAL</t>
  </si>
  <si>
    <t>MICHAEL DEVLIN</t>
  </si>
  <si>
    <t>ANNA M CONROY DEVLIN</t>
  </si>
  <si>
    <t>SEAMAN 1ST CLASS, USN</t>
  </si>
  <si>
    <t>BROOKLYN NAVY YARD</t>
  </si>
  <si>
    <t>TOO RA LOO RA LOO RA</t>
  </si>
  <si>
    <t>MAX ORMSBY</t>
  </si>
  <si>
    <t>USN WWII</t>
  </si>
  <si>
    <t>USS COWPENS</t>
  </si>
  <si>
    <t>TOM ORMSBY/DAWN</t>
  </si>
  <si>
    <t>ELMER WHITE</t>
  </si>
  <si>
    <t>SSGT US ARMY WWII</t>
  </si>
  <si>
    <t>PETTY OFFICER WWII</t>
  </si>
  <si>
    <t>JAY WHITE</t>
  </si>
  <si>
    <t>MICHAEL J O'RILEY</t>
  </si>
  <si>
    <t>NAVY CORPSMAN</t>
  </si>
  <si>
    <t>USNH GUAM</t>
  </si>
  <si>
    <t>MAR 16 1967-JUL 15 1969</t>
  </si>
  <si>
    <t>GARY C SMALL</t>
  </si>
  <si>
    <t>E4 - US NAVY</t>
  </si>
  <si>
    <t>1961 - 1965</t>
  </si>
  <si>
    <t>ROBERT McKINLEY</t>
  </si>
  <si>
    <t>BOB BROWN AIRBORNE</t>
  </si>
  <si>
    <t>ANITA HARTSELL</t>
  </si>
  <si>
    <t>BRUNSWICK COUNTY</t>
  </si>
  <si>
    <t>SERVICE OFFICER</t>
  </si>
  <si>
    <t>BOB BROWN</t>
  </si>
  <si>
    <t>WILLIAM R ANDREWS</t>
  </si>
  <si>
    <t>SMSGT U.S. AIR FORCE</t>
  </si>
  <si>
    <t>1972 - 1998</t>
  </si>
  <si>
    <t>PHILLIP McGHEE</t>
  </si>
  <si>
    <t>LT COL JOHN D PARK IV</t>
  </si>
  <si>
    <t>24 YEARS OF SERVICE</t>
  </si>
  <si>
    <t>U.S. MARINE CORP</t>
  </si>
  <si>
    <t>HAL M HUGGINS</t>
  </si>
  <si>
    <t>SGT U.S. ARMY</t>
  </si>
  <si>
    <t>VINCENT J SULLO</t>
  </si>
  <si>
    <t>SGT. USMC</t>
  </si>
  <si>
    <t>DET. NYPD</t>
  </si>
  <si>
    <t>LOVING FATHER</t>
  </si>
  <si>
    <t>1ST LT SIGNAL CORP</t>
  </si>
  <si>
    <t>USA KOREA</t>
  </si>
  <si>
    <t>JUNE 67-71</t>
  </si>
  <si>
    <t>LTC. BOB QUINN</t>
  </si>
  <si>
    <t>1964/65-67-68-71</t>
  </si>
  <si>
    <t>SOG-4th INF-TEAM 36</t>
  </si>
  <si>
    <t>GEORGE J COMERFORD</t>
  </si>
  <si>
    <t>U.S. ARMY</t>
  </si>
  <si>
    <t>THE OLD GUARD</t>
  </si>
  <si>
    <t>MARCH 1953-1955</t>
  </si>
  <si>
    <t>GEORGE J CUPPERNULL</t>
  </si>
  <si>
    <t>CPL US ARMY 1952-1955</t>
  </si>
  <si>
    <t>328TH ARMY BAND</t>
  </si>
  <si>
    <t>FORT HAMILTON NY</t>
  </si>
  <si>
    <t>RICHARD C HAWKINS</t>
  </si>
  <si>
    <t>DAD AND PAPA</t>
  </si>
  <si>
    <t>JAMES T BRANDENBURG</t>
  </si>
  <si>
    <t>USAF KOREA</t>
  </si>
  <si>
    <t>DAD AND GRANDPA</t>
  </si>
  <si>
    <t>JOHN A CARAGOL</t>
  </si>
  <si>
    <t>U.S. NAVY</t>
  </si>
  <si>
    <t>USS HAROLD J ELLISON</t>
  </si>
  <si>
    <t>1959-1963</t>
  </si>
  <si>
    <t>DAVID M SOBEL</t>
  </si>
  <si>
    <t>CAPT USAF CHAPLAIN</t>
  </si>
  <si>
    <t>DIED IN SERVICE TO</t>
  </si>
  <si>
    <t>HONORING JOE MAGGIOLA</t>
  </si>
  <si>
    <t>A TENACIOUS ADVOCATE</t>
  </si>
  <si>
    <t>FOR</t>
  </si>
  <si>
    <t>VETERANS + FAMILIES</t>
  </si>
  <si>
    <t>ALBERT J ROLLINS</t>
  </si>
  <si>
    <t>RICHARD KOR</t>
  </si>
  <si>
    <t>1925 - 2025</t>
  </si>
  <si>
    <t>ARMY AIR CORPS WWII</t>
  </si>
  <si>
    <t>NC POST 543</t>
  </si>
  <si>
    <t>COMMANDER</t>
  </si>
  <si>
    <t>2012 - 2014</t>
  </si>
  <si>
    <t>DONALD MCGUIRE</t>
  </si>
  <si>
    <t>Actual location is bottom right</t>
  </si>
  <si>
    <t>2014 - 2016</t>
  </si>
  <si>
    <t>RICHARD J SESSA</t>
  </si>
  <si>
    <t>Placed here to minimize brick search</t>
  </si>
  <si>
    <t>2016 - 2017</t>
  </si>
  <si>
    <t>GARY G CROWDEN</t>
  </si>
  <si>
    <t>graphic image size</t>
  </si>
  <si>
    <t>2017 - 2019</t>
  </si>
  <si>
    <t>Move these down as new actual bricks</t>
  </si>
  <si>
    <t>2019 - 2021</t>
  </si>
  <si>
    <t>GEORGE R FREEMAN</t>
  </si>
  <si>
    <t>are purchased and fill these spots</t>
  </si>
  <si>
    <t>2021 - 2023</t>
  </si>
  <si>
    <t>STEVE RATTI</t>
  </si>
  <si>
    <t>2023 - 2025</t>
  </si>
  <si>
    <t>PHILLIP MCGHEE</t>
  </si>
  <si>
    <t>ROBERT D GAVLICK</t>
  </si>
  <si>
    <t>1LT  USA</t>
  </si>
  <si>
    <t>1967 - 1970</t>
  </si>
  <si>
    <t>Robert D. Gavlick</t>
  </si>
  <si>
    <t>S2</t>
  </si>
  <si>
    <t>LS</t>
  </si>
  <si>
    <t>THOMAS H. CONATY</t>
  </si>
  <si>
    <t>1ST LIEUTENANT USMC</t>
  </si>
  <si>
    <t>Tom and Dianna Conaty</t>
  </si>
  <si>
    <t>SGT BILL VOGT</t>
  </si>
  <si>
    <t>CU CHI, VIETNAM</t>
  </si>
  <si>
    <t>WOLFHOUNDS</t>
  </si>
  <si>
    <t>1968 - 1969</t>
  </si>
  <si>
    <t>Bill Vogt</t>
  </si>
  <si>
    <t>KEN KEEGAN</t>
  </si>
  <si>
    <t>NATIONAL GUARD</t>
  </si>
  <si>
    <t>CDR MICHAEL MORRISON</t>
  </si>
  <si>
    <t>USN 1966 - 1986 VIETNAM</t>
  </si>
  <si>
    <t>Michael Morrison</t>
  </si>
  <si>
    <t>LT LEE McCORKLE USNR</t>
  </si>
  <si>
    <t>1962 - 1969</t>
  </si>
  <si>
    <t>PATRON 23 FAW 3</t>
  </si>
  <si>
    <t>Lee and Diane McCorkle</t>
  </si>
  <si>
    <t>Wm J McCORMACK SR</t>
  </si>
  <si>
    <t>CORPORAL  USMC</t>
  </si>
  <si>
    <t>Bill McCormack</t>
  </si>
  <si>
    <t>MICHAEL R KIRSCHE</t>
  </si>
  <si>
    <t xml:space="preserve">US ARMY	</t>
  </si>
  <si>
    <t>Michael R. Kirsche</t>
  </si>
  <si>
    <t>FRANK R KIRSCHE</t>
  </si>
  <si>
    <t xml:space="preserve">USN WW II	</t>
  </si>
  <si>
    <t>DAVID C DOE   US ARMY</t>
  </si>
  <si>
    <t>1LT INFANTRY</t>
  </si>
  <si>
    <t>VIETNAM  1966-1967</t>
  </si>
  <si>
    <t>David Doe</t>
  </si>
  <si>
    <t>DAVID R. CARMAN</t>
  </si>
  <si>
    <t>LTC US ARMY RESERVE</t>
  </si>
  <si>
    <t>1981 - 2003</t>
  </si>
  <si>
    <t>David R. Carman</t>
  </si>
  <si>
    <t>MICHAEL ANDREW NORTON</t>
  </si>
  <si>
    <t>1968 - 1972 US MARINES</t>
  </si>
  <si>
    <t>1975 - 2009 US ARMY</t>
  </si>
  <si>
    <t>VIETNAM, AFGHANISTAN</t>
  </si>
  <si>
    <t>Mike A. Norton</t>
  </si>
  <si>
    <t>OUR SINCERE GRATITUDE</t>
  </si>
  <si>
    <t>TO ALL WHO SERVED THE</t>
  </si>
  <si>
    <t>CAUSE OF FREEDOM</t>
  </si>
  <si>
    <t>THE HERRETT FAMILY</t>
  </si>
  <si>
    <t>Joan and Richard Herrett</t>
  </si>
  <si>
    <t>BOB CAMPAGNONE</t>
  </si>
  <si>
    <t>MAL CAMPAGNONE</t>
  </si>
  <si>
    <t>JERE LONERGAN</t>
  </si>
  <si>
    <t>RAY O'CLARE</t>
  </si>
  <si>
    <t>Pat and Bob Campagnone</t>
  </si>
  <si>
    <t>THE WYTE FAMILY</t>
  </si>
  <si>
    <t>CONTINUES TO PRAY</t>
  </si>
  <si>
    <t xml:space="preserve">FOR THOSE WHO SERVE	</t>
  </si>
  <si>
    <t>Larry and Diane Wyte</t>
  </si>
  <si>
    <t>GARTH &amp; JENNY EDWARDS</t>
  </si>
  <si>
    <t>LT USN 1963 - 1966</t>
  </si>
  <si>
    <t>Garth Edwards</t>
  </si>
  <si>
    <t>THANKS TO ALL WHO</t>
  </si>
  <si>
    <t>HAVE SERVED</t>
  </si>
  <si>
    <t>AUGI AND CINDY GRANT</t>
  </si>
  <si>
    <t>Augie and Cindy Grant</t>
  </si>
  <si>
    <t>LAWRENCE C BENNETT</t>
  </si>
  <si>
    <t xml:space="preserve">LT USA WW II PILOT	</t>
  </si>
  <si>
    <t>Gary and Vickie Johnson</t>
  </si>
  <si>
    <t>SHELDON D JOHNSON JR</t>
  </si>
  <si>
    <t>LT USA WW II</t>
  </si>
  <si>
    <t>GARY L JOHNSON</t>
  </si>
  <si>
    <t>LTJG     USNR</t>
  </si>
  <si>
    <t>CAPT MIKE COLSTON MD</t>
  </si>
  <si>
    <t>MEDICAL CORPS US NAVY</t>
  </si>
  <si>
    <t>4TH GENERATION</t>
  </si>
  <si>
    <t>PROUD TO SERVE</t>
  </si>
  <si>
    <t>Eleanor and Mike Colston</t>
  </si>
  <si>
    <t>SGT GEORGE K STEVENS</t>
  </si>
  <si>
    <t>KILLED IN ACTION</t>
  </si>
  <si>
    <t>NEW GUINEA  WW II</t>
  </si>
  <si>
    <t>George W. Stevens</t>
  </si>
  <si>
    <t>LT RICHARD P GUDIS</t>
  </si>
  <si>
    <t>US NAVY RET - 1949-1977</t>
  </si>
  <si>
    <t>SUBMARINE VETERAN</t>
  </si>
  <si>
    <t>CAPT VICTOR R FIEBIG</t>
  </si>
  <si>
    <t>USNA CL 7-74  USN RET</t>
  </si>
  <si>
    <t>CO SSN 765</t>
  </si>
  <si>
    <t>USN  7-74  6-02</t>
  </si>
  <si>
    <t>Richard P. Gudis</t>
  </si>
  <si>
    <t>CPT RICHARD GUDIS II</t>
  </si>
  <si>
    <t xml:space="preserve">BOSNIA - IRAQ	</t>
  </si>
  <si>
    <t>Lt. Richard P. Gudis USN (Ret)</t>
  </si>
  <si>
    <t>SP5 RICHARD A GUNTHER</t>
  </si>
  <si>
    <t>7TH INFANTRY DIVISION</t>
  </si>
  <si>
    <t>1967 - 1969</t>
  </si>
  <si>
    <t>Richard A. Gunther</t>
  </si>
  <si>
    <t>VILLADSEN FAMILY</t>
  </si>
  <si>
    <t>Ove Villadsen</t>
  </si>
  <si>
    <t>CPT EDGAR S BOWKLEY</t>
  </si>
  <si>
    <t>1940-1946  WW II</t>
  </si>
  <si>
    <t>1951-1952  KOREA</t>
  </si>
  <si>
    <t>ARMY CORP OF ENGINEER</t>
  </si>
  <si>
    <t>Karen (Bowkley) Jenkins</t>
  </si>
  <si>
    <t>COL ED BAISDEN, USA</t>
  </si>
  <si>
    <t>CO JERI GRAHAM, USA</t>
  </si>
  <si>
    <t>52 YRS COMBINED SVC</t>
  </si>
  <si>
    <t>Ed Baisden</t>
  </si>
  <si>
    <t>SGT PAUL  HOUGHTON</t>
  </si>
  <si>
    <t>USMC - KOREA</t>
  </si>
  <si>
    <t>Debby Elliott</t>
  </si>
  <si>
    <t>KEN &amp; MARTHA REESE</t>
  </si>
  <si>
    <t>1956 -1977</t>
  </si>
  <si>
    <t>Ken and Martha Reese</t>
  </si>
  <si>
    <t>LTCOL ROBERT FRY  USMC</t>
  </si>
  <si>
    <t>1951 - 1978</t>
  </si>
  <si>
    <t>KOREA - VIETNAM</t>
  </si>
  <si>
    <t>Robert L. Fry</t>
  </si>
  <si>
    <t>JOSEPH C MAGGIOLA</t>
  </si>
  <si>
    <t>USA TSGT COMPANY H</t>
  </si>
  <si>
    <t>13TH INF REG WW II</t>
  </si>
  <si>
    <t>Mary Ann Palmieri</t>
  </si>
  <si>
    <t>HARRIS SWANSON</t>
  </si>
  <si>
    <t>FATHER - SANDY ST CLAIR</t>
  </si>
  <si>
    <t>US ARMY INFANTRY WW II</t>
  </si>
  <si>
    <t>Stillman St. Clair</t>
  </si>
  <si>
    <t>LTC RODMAN ST CLAIR</t>
  </si>
  <si>
    <t>US ARMY AIRCORP</t>
  </si>
  <si>
    <t>CARPETBAGGER WW II</t>
  </si>
  <si>
    <t>CHARLES B GIBBS</t>
  </si>
  <si>
    <t>Diane Gibbs</t>
  </si>
  <si>
    <t xml:space="preserve">THANKS TO ALL WHO	</t>
  </si>
  <si>
    <t>HAVE PROTECTED</t>
  </si>
  <si>
    <t>THIS GREAT NATION</t>
  </si>
  <si>
    <t>SANDBAGGERS INC</t>
  </si>
  <si>
    <t>Frank R. McCullouh</t>
  </si>
  <si>
    <t>SGT CHARLES FRIZOL</t>
  </si>
  <si>
    <t>KOREA  1953 - 1955</t>
  </si>
  <si>
    <t>US ARMY SIGNAL ORP</t>
  </si>
  <si>
    <t>LOVE YOUR FAMILY</t>
  </si>
  <si>
    <t>Jackie Frizol</t>
  </si>
  <si>
    <t>MAJOR CARL R SENFT</t>
  </si>
  <si>
    <t>1919 - 2004</t>
  </si>
  <si>
    <t>WW II, EUROPE</t>
  </si>
  <si>
    <t>Tim and Jane Senft</t>
  </si>
  <si>
    <t>WE HONOR ALL</t>
  </si>
  <si>
    <t>PATSY &amp; JIM FALLON</t>
  </si>
  <si>
    <t>Jim and Patsy Fallon</t>
  </si>
  <si>
    <t>THOMAS &amp; KAREN BARNES</t>
  </si>
  <si>
    <t>Thomas and Karen Barnes</t>
  </si>
  <si>
    <t>WE SALUTE YOU</t>
  </si>
  <si>
    <t>C &amp; D</t>
  </si>
  <si>
    <t>Caryl and Dave Portney</t>
  </si>
  <si>
    <t>IN GRATITUDE FOR OUR</t>
  </si>
  <si>
    <t>FREEDOMS AND FUTURE</t>
  </si>
  <si>
    <t>CARAGOL GRANDCHILDREN</t>
  </si>
  <si>
    <t>Beth Caragol</t>
  </si>
  <si>
    <t>SGM EARL (JOE) DEVINS</t>
  </si>
  <si>
    <t>1943 - 1970  USA</t>
  </si>
  <si>
    <t>William Devins</t>
  </si>
  <si>
    <t>FATHERS WHO SERVED</t>
  </si>
  <si>
    <t>JACKI &amp; AL BLACKBURN</t>
  </si>
  <si>
    <t>Al and Jacki Blackburn</t>
  </si>
  <si>
    <t>USN WILLIAM ZAHARICK</t>
  </si>
  <si>
    <t>WW II PACIFIC SEABEES</t>
  </si>
  <si>
    <t>OUR WONDERFUL FATHER</t>
  </si>
  <si>
    <t>Robert and Carole Dennis</t>
  </si>
  <si>
    <t>PFC WILLIAM F HOGAN</t>
  </si>
  <si>
    <t>36TH INFANTRY DIV WW II</t>
  </si>
  <si>
    <t>ITALY  FRANCE  GERMANY</t>
  </si>
  <si>
    <t>William F. Hogan</t>
  </si>
  <si>
    <t>CPL JAMES E HOGAN USMC</t>
  </si>
  <si>
    <t>IWO JIMA SILVER STAR</t>
  </si>
  <si>
    <t>BRONZE STAR 3 PURP HTS</t>
  </si>
  <si>
    <t>CPL JAMES HOGAN USMC</t>
  </si>
  <si>
    <t>IWO JIMA</t>
  </si>
  <si>
    <t>THE COLLINS</t>
  </si>
  <si>
    <t>PROUDLY SERVED</t>
  </si>
  <si>
    <t>HAROLD GERRY DON</t>
  </si>
  <si>
    <t>RON DON SCOTT BRYANT</t>
  </si>
  <si>
    <t>Laurie Collins</t>
  </si>
  <si>
    <t>PFC GERALD BAGAASON</t>
  </si>
  <si>
    <t>USMC  1947 - 1966</t>
  </si>
  <si>
    <t>QUANG NAM, SO. VIETNAM</t>
  </si>
  <si>
    <t>Ed and Mary Jo Klinger</t>
  </si>
  <si>
    <t>SERGEANT RON SCARDINA</t>
  </si>
  <si>
    <t>1964 - 1967  US ARMY</t>
  </si>
  <si>
    <t>K - TOWN GERMANY</t>
  </si>
  <si>
    <t>Ronald and Jackie Scardina</t>
  </si>
  <si>
    <t>LIOLA FAMILY</t>
  </si>
  <si>
    <t>Celeste and Fran Liola</t>
  </si>
  <si>
    <t xml:space="preserve">IN HONOR OF THOSE WHO	</t>
  </si>
  <si>
    <t>R AND N FAULKNER</t>
  </si>
  <si>
    <t>Rob and Nancy Faulkner</t>
  </si>
  <si>
    <t>LTC  ERIK J LEUSCHNER</t>
  </si>
  <si>
    <t>PSYOP TASK FORCE IRAQ</t>
  </si>
  <si>
    <t>2006 - 2007</t>
  </si>
  <si>
    <t>Bill and Marge Leuschner</t>
  </si>
  <si>
    <t>WILLIE HOLBROOK</t>
  </si>
  <si>
    <t>USMC  1917 - 1945</t>
  </si>
  <si>
    <t>WW I  FRANCE</t>
  </si>
  <si>
    <t>Karen Holbrook</t>
  </si>
  <si>
    <t>WILLIAM HOLBROOK</t>
  </si>
  <si>
    <t>USAAC  1943 - 1945</t>
  </si>
  <si>
    <t>WW II  SOUTH PACIFIC</t>
  </si>
  <si>
    <t>1LT SCOTT HOLBROOK</t>
  </si>
  <si>
    <t>WW II  EUROPE  KOREA</t>
  </si>
  <si>
    <t>WILLIAM H. WHITE JR.</t>
  </si>
  <si>
    <t>CAPT USAF</t>
  </si>
  <si>
    <t>Juliet A. White</t>
  </si>
  <si>
    <t>G MICHAEL TIANI</t>
  </si>
  <si>
    <t>SSG  USA  VIETNAM</t>
  </si>
  <si>
    <t>BRONZE STAR WITH "V"</t>
  </si>
  <si>
    <t>Rose Tiani</t>
  </si>
  <si>
    <t>CAPT MARK D RULLMAN</t>
  </si>
  <si>
    <t>USMC   1962 - 1993</t>
  </si>
  <si>
    <t>DEV &amp; SHELLY KEENAN</t>
  </si>
  <si>
    <t>Dev and Shelly Keenan</t>
  </si>
  <si>
    <t>JIM LESHER</t>
  </si>
  <si>
    <t>CAPT USNR</t>
  </si>
  <si>
    <t xml:space="preserve">VIETNAM	</t>
  </si>
  <si>
    <t>Jim Leshner</t>
  </si>
  <si>
    <t>COL CHARLES ZEMPLE</t>
  </si>
  <si>
    <t>USAF  1943 - 1977</t>
  </si>
  <si>
    <t>JANET FLORIP'S FATHER</t>
  </si>
  <si>
    <t>Janet and Tom Florip</t>
  </si>
  <si>
    <t>SGT JACK FLORIP</t>
  </si>
  <si>
    <t>1941 - 1945 WW II - POW</t>
  </si>
  <si>
    <t>TOM FLORIP'S FATHER</t>
  </si>
  <si>
    <t>PATRICK KILLEEN PO2</t>
  </si>
  <si>
    <t>USN  1966 - 1970</t>
  </si>
  <si>
    <t>Ann S. Haring</t>
  </si>
  <si>
    <t>HEINDLE BRANDT SELF</t>
  </si>
  <si>
    <t>USN  WW II  FATHER OF</t>
  </si>
  <si>
    <t>ANN S HARING-KILLEEN</t>
  </si>
  <si>
    <t>COL JERRY IVERSON</t>
  </si>
  <si>
    <t>USAF  1966 - 1990</t>
  </si>
  <si>
    <t>DFC, LOM, DMSM, MSM,</t>
  </si>
  <si>
    <t>AM, JSCM, AFCM</t>
  </si>
  <si>
    <t>Jerry Iverson</t>
  </si>
  <si>
    <t>CHARLES R STEWART</t>
  </si>
  <si>
    <t>WT3C USS KNAPP</t>
  </si>
  <si>
    <t>WW II  1942-45 US NAVY</t>
  </si>
  <si>
    <t>Jan and Tom Lambert</t>
  </si>
  <si>
    <t>ST JAMES MGA</t>
  </si>
  <si>
    <t>St. James Mens Golf Association</t>
  </si>
  <si>
    <t>ROBERT W. KLOTZ</t>
  </si>
  <si>
    <t>SMSGT US AIR FORCE</t>
  </si>
  <si>
    <t>Ron Klotz</t>
  </si>
  <si>
    <t>FRANK E. PARKER</t>
  </si>
  <si>
    <t>CAPT US COAST GUARD</t>
  </si>
  <si>
    <t>1925 - 1999</t>
  </si>
  <si>
    <t>REY AND MARCI CURRIER</t>
  </si>
  <si>
    <t>THANK YOU FOR</t>
  </si>
  <si>
    <t>PROTECTING</t>
  </si>
  <si>
    <t>OUR FREEDOM</t>
  </si>
  <si>
    <t>Rey and Marci Currier</t>
  </si>
  <si>
    <t>CPT ROBERT J COMSTOCK</t>
  </si>
  <si>
    <t>IN MEMORY OF ALL</t>
  </si>
  <si>
    <t>Ann and Bob Comstock</t>
  </si>
  <si>
    <t>RONALD D. PHILLIPS</t>
  </si>
  <si>
    <t>HUSBAND</t>
  </si>
  <si>
    <t>Barbara Krankoski</t>
  </si>
  <si>
    <t>R W CHANEY   USA WW II</t>
  </si>
  <si>
    <t>THOMAS LAWN  USN WW II</t>
  </si>
  <si>
    <t>JOHN M CHANEY  USA RET</t>
  </si>
  <si>
    <t>DUTY HONOR COUNTRY</t>
  </si>
  <si>
    <t>John M. Chaney</t>
  </si>
  <si>
    <t>WITH GRATITUDE FOR</t>
  </si>
  <si>
    <t>GEORGE &amp; CAROL BELL</t>
  </si>
  <si>
    <t>George and Carol Bell</t>
  </si>
  <si>
    <t>LT OLIVER BLABER</t>
  </si>
  <si>
    <t>EM2C WILBUR CLONINGER</t>
  </si>
  <si>
    <t>NAVY - WW II</t>
  </si>
  <si>
    <t>Bob and Sandy Blaber</t>
  </si>
  <si>
    <t>DANIEL HERRING USA USN</t>
  </si>
  <si>
    <t>DANIEL C HERRING USMC</t>
  </si>
  <si>
    <t>DAVID E HERRING USMC</t>
  </si>
  <si>
    <t>Daniel Herring</t>
  </si>
  <si>
    <t>TED &amp; LORETTTA</t>
  </si>
  <si>
    <t>WASHIENKO</t>
  </si>
  <si>
    <t>TO ALL WHO GAVE</t>
  </si>
  <si>
    <t>ABOVE &amp; BEYOND</t>
  </si>
  <si>
    <t>Theodore and Loretta Washienko</t>
  </si>
  <si>
    <t>GENE LASINSKI</t>
  </si>
  <si>
    <t>1954 - 1958 KOREA</t>
  </si>
  <si>
    <t>Gene Lasinski</t>
  </si>
  <si>
    <t>LTC JIMMIE D PERRYMAN</t>
  </si>
  <si>
    <t>AND WIFE SANDY</t>
  </si>
  <si>
    <t>US ARMY  1975 - 1997</t>
  </si>
  <si>
    <t>Jimmie D. Perryman</t>
  </si>
  <si>
    <t>PILOT OFFICER</t>
  </si>
  <si>
    <t>EDGAR QUINN</t>
  </si>
  <si>
    <t>ROYAL CDN AIR FORCE</t>
  </si>
  <si>
    <t xml:space="preserve">WW II	</t>
  </si>
  <si>
    <t>Robert Quinn</t>
  </si>
  <si>
    <t>LT. F. D'ARCY QUINN</t>
  </si>
  <si>
    <t>ROYAL CDN NAVY</t>
  </si>
  <si>
    <t>HONORING FRIENDS AND</t>
  </si>
  <si>
    <t>FELLOW SOLDIERS WHO</t>
  </si>
  <si>
    <t>NEVER CAME HOME</t>
  </si>
  <si>
    <t>ED KELLY  ABN INF</t>
  </si>
  <si>
    <t>Ed and Jane Kelly</t>
  </si>
  <si>
    <t>MSGT WILLIAM J PLANT</t>
  </si>
  <si>
    <t>USMC - US ARMY</t>
  </si>
  <si>
    <t>JANE KELLY</t>
  </si>
  <si>
    <t>HOFFMAN FAMILY HONORS</t>
  </si>
  <si>
    <t>WW II SERVICE OF ITS</t>
  </si>
  <si>
    <t>GREATEST GENERATION</t>
  </si>
  <si>
    <t>LEO WALT CARL EUGENE</t>
  </si>
  <si>
    <t>Ken Hoffman</t>
  </si>
  <si>
    <t>JIM &amp; MARY JANE CORN</t>
  </si>
  <si>
    <t>24TH DIV MP</t>
  </si>
  <si>
    <t>PROUD TO HAVE SERVED</t>
  </si>
  <si>
    <t>Jimmy and Mary Jane Corn</t>
  </si>
  <si>
    <t>JAY KEEGAN</t>
  </si>
  <si>
    <t>MAJOR USAF</t>
  </si>
  <si>
    <t>Jay Keegan</t>
  </si>
  <si>
    <t>JOHN T MASSEY</t>
  </si>
  <si>
    <t>JOHN C WIGGINS</t>
  </si>
  <si>
    <t>19433 - 1946</t>
  </si>
  <si>
    <t>JAMES C SCONYERS</t>
  </si>
  <si>
    <t>COLONEL     USAF</t>
  </si>
  <si>
    <t>1973 - 2003</t>
  </si>
  <si>
    <t>Jim Sconyers</t>
  </si>
  <si>
    <t>JAMES H SCONYERS</t>
  </si>
  <si>
    <t>MAJOR</t>
  </si>
  <si>
    <t>1938 - 1964</t>
  </si>
  <si>
    <t>LT JOHN F LEONARD</t>
  </si>
  <si>
    <t>USAF  WW II</t>
  </si>
  <si>
    <t>THE LEONARD FAMILY</t>
  </si>
  <si>
    <t>Larry Leonard</t>
  </si>
  <si>
    <t>FRANCIS P COOK</t>
  </si>
  <si>
    <t>WW II  US NAVY</t>
  </si>
  <si>
    <t>JOSEPH F BERTONCIN</t>
  </si>
  <si>
    <t>WW II  US ARMY</t>
  </si>
  <si>
    <t>Carl and Linda Cook</t>
  </si>
  <si>
    <t>GEORGE GUNTER  USAF</t>
  </si>
  <si>
    <t xml:space="preserve">1954 - 1957	</t>
  </si>
  <si>
    <t>George H. Gunter</t>
  </si>
  <si>
    <t>JAMES R GEAR, JR</t>
  </si>
  <si>
    <t>ENS-CDR USN</t>
  </si>
  <si>
    <t>LT COL - COL USAF</t>
  </si>
  <si>
    <t>1987 - 2012</t>
  </si>
  <si>
    <t>James and Kathleen Gear</t>
  </si>
  <si>
    <t>KATHLEEN P GEAR</t>
  </si>
  <si>
    <t>DEVOTED NAVY WIFE</t>
  </si>
  <si>
    <t>JAMES R GEAR</t>
  </si>
  <si>
    <t>CAPTAIN, SUPPLY CORPS</t>
  </si>
  <si>
    <t>1960 - 1983</t>
  </si>
  <si>
    <t>ROBERT S MOSS</t>
  </si>
  <si>
    <t>VIETNAM  MAY 69-JULY 70</t>
  </si>
  <si>
    <t>1SR AIR CAV DIV</t>
  </si>
  <si>
    <t>Bob Moss</t>
  </si>
  <si>
    <t>PINE BLUFF NEIGHBORS</t>
  </si>
  <si>
    <t>SALUTE ALL VETERANS</t>
  </si>
  <si>
    <t>AND THANK YOU</t>
  </si>
  <si>
    <t>Pine Bluff Neighbors</t>
  </si>
  <si>
    <t>JOHN A JOHNSON</t>
  </si>
  <si>
    <t>IN MEMORY OF DAD</t>
  </si>
  <si>
    <t>Raymond Johnson</t>
  </si>
  <si>
    <t>DR. BRUCE CORRIE</t>
  </si>
  <si>
    <t>CAPT US AIR FORCE</t>
  </si>
  <si>
    <t>Bruce and Jane Corrie</t>
  </si>
  <si>
    <t>GEORGE W CORRIE</t>
  </si>
  <si>
    <t>PVT US ARMY</t>
  </si>
  <si>
    <t>WW I</t>
  </si>
  <si>
    <t>LT JAMES W CLOW</t>
  </si>
  <si>
    <t>USA SPECIAL FORCES</t>
  </si>
  <si>
    <t>1962 - 1965  VIETNAM</t>
  </si>
  <si>
    <t>Jim and Madelyn Clow</t>
  </si>
  <si>
    <t>GEORGE SQUILLARIO</t>
  </si>
  <si>
    <t xml:space="preserve">RAYMOND SQUILLARIO	</t>
  </si>
  <si>
    <t>US ARMY  WW II EUROPE</t>
  </si>
  <si>
    <t>DONALD MOLONEY  USAF</t>
  </si>
  <si>
    <t xml:space="preserve">BILL FREUDENBERG  USN	</t>
  </si>
  <si>
    <t>PAULINE AND JIM</t>
  </si>
  <si>
    <t>Jim Freudenberg</t>
  </si>
  <si>
    <t>RICHARD MARKS  US ARMY</t>
  </si>
  <si>
    <t>WW II VETERAN</t>
  </si>
  <si>
    <t>LOVING WIFE, ELEANOR</t>
  </si>
  <si>
    <t>Judy Carpenter</t>
  </si>
  <si>
    <t>SALVATORE JOHN FORTE</t>
  </si>
  <si>
    <t>CWO2  US ARMY</t>
  </si>
  <si>
    <t>1930 - 2002</t>
  </si>
  <si>
    <t>R. M. Graves</t>
  </si>
  <si>
    <t>STEPHEN D GRAVES</t>
  </si>
  <si>
    <t>SSG USAF</t>
  </si>
  <si>
    <t>1947 - 1993</t>
  </si>
  <si>
    <t>RICHARD P ERICKSON</t>
  </si>
  <si>
    <t>CAPT USNR  1961 - 1985</t>
  </si>
  <si>
    <t>Richard P. Erickson</t>
  </si>
  <si>
    <t>TSGT JOHN P BREEN</t>
  </si>
  <si>
    <t>Chester and Monica Michewicz</t>
  </si>
  <si>
    <t xml:space="preserve">RAY AND NANCY MOORE	</t>
  </si>
  <si>
    <t>YOUR SUPPORT AND</t>
  </si>
  <si>
    <t>DEDICATION IS NOT</t>
  </si>
  <si>
    <t>FORGOTTEN</t>
  </si>
  <si>
    <t>Ray and Nancy Moore</t>
  </si>
  <si>
    <t>CPT ALBERT A STEINER</t>
  </si>
  <si>
    <t>1941 - 1946</t>
  </si>
  <si>
    <t>WW II PACIFIC THEATER</t>
  </si>
  <si>
    <t>Charles and Christine McWade</t>
  </si>
  <si>
    <t>THE CARBERRY FAMILY</t>
  </si>
  <si>
    <t>Thomas Carberry</t>
  </si>
  <si>
    <t>THE EGGER FAMILY</t>
  </si>
  <si>
    <t>SERVED OR SUPPORTED</t>
  </si>
  <si>
    <t>Chris Egger</t>
  </si>
  <si>
    <t>WILLIAM E BOSTON  SGT</t>
  </si>
  <si>
    <t>US ARMY 1970 - 1971</t>
  </si>
  <si>
    <t>JSA PANMUNJOM KOREA</t>
  </si>
  <si>
    <t>IN FRONT OF THEM ALL</t>
  </si>
  <si>
    <t>William Boston</t>
  </si>
  <si>
    <t>JOHN BORETTI  USMA '67</t>
  </si>
  <si>
    <t>AND FAMILY THANKS TO</t>
  </si>
  <si>
    <t>Linda and John Boretti</t>
  </si>
  <si>
    <t>JOHN M TURTURRO</t>
  </si>
  <si>
    <t>1920 - 2011</t>
  </si>
  <si>
    <t>ARMY AIR CORP  WW II</t>
  </si>
  <si>
    <t>DENNIS S McCOURT</t>
  </si>
  <si>
    <t>Dennis McCourt</t>
  </si>
  <si>
    <t>SPENCER B McCOURT</t>
  </si>
  <si>
    <t>CPL US ARMY</t>
  </si>
  <si>
    <t>ARCH ROBINSON  US ARMY</t>
  </si>
  <si>
    <t>1960 - 1962</t>
  </si>
  <si>
    <t>Arch and Nancy Robinson</t>
  </si>
  <si>
    <t>SINCLAIR - WILLIAMS</t>
  </si>
  <si>
    <t>USMC/ARMY/NAVY VETS</t>
  </si>
  <si>
    <t>Ted and Sue Sinclaire</t>
  </si>
  <si>
    <t>JOHN C HISLEY, MD</t>
  </si>
  <si>
    <t>FLIGHT SURGEON  USAF</t>
  </si>
  <si>
    <t>VIETNAM DESERT STORM</t>
  </si>
  <si>
    <t>1966 - 1973   1984 - 2001</t>
  </si>
  <si>
    <t>John C. Hisley, MD</t>
  </si>
  <si>
    <t>CHARLES R AUDETTE</t>
  </si>
  <si>
    <t>Charles R. Audette</t>
  </si>
  <si>
    <t>THANK YOU VETERANS!</t>
  </si>
  <si>
    <t>THE RUDOLPH FAMILY</t>
  </si>
  <si>
    <t>Marilyn Rudolph</t>
  </si>
  <si>
    <t>JOSEPH J STACK</t>
  </si>
  <si>
    <t>US COAST GUARD</t>
  </si>
  <si>
    <t>SEMPER PARATUS</t>
  </si>
  <si>
    <t>Joseph Stack</t>
  </si>
  <si>
    <t>JOHN &amp; JEAN JACOBSEN</t>
  </si>
  <si>
    <t>John and Jean Jacobsen</t>
  </si>
  <si>
    <t>SGT BARRY MILLER USAR</t>
  </si>
  <si>
    <t>1969 - 1975</t>
  </si>
  <si>
    <t>BTRY C 97TH ARCOM</t>
  </si>
  <si>
    <t>WESTMINSTER MARYLAND</t>
  </si>
  <si>
    <t>Barry L. Miller</t>
  </si>
  <si>
    <t>SP5 THOMAS YORK</t>
  </si>
  <si>
    <t>HHD 69TH MAINTENANCE</t>
  </si>
  <si>
    <t>US ARMY  1965 -1968</t>
  </si>
  <si>
    <t>CAM RANH BAY VIETNAM</t>
  </si>
  <si>
    <t>Denise and Tom York</t>
  </si>
  <si>
    <t>SP5 DONALD HACKETT</t>
  </si>
  <si>
    <t>566TH TRANS CO</t>
  </si>
  <si>
    <t>Julie Hackett</t>
  </si>
  <si>
    <t>THE ROVIELLO FAMILY</t>
  </si>
  <si>
    <t>AND ARE SERVING</t>
  </si>
  <si>
    <t>Frank and Rosalie Roviello</t>
  </si>
  <si>
    <t>QUABECKS IN MEMORY OF</t>
  </si>
  <si>
    <t>ETHEL &amp; HOWARD QUABECK</t>
  </si>
  <si>
    <t>GENEVIEVE &amp; FRANKLIN</t>
  </si>
  <si>
    <t>HARTZELL</t>
  </si>
  <si>
    <t>Dawn and Howard Quabeck</t>
  </si>
  <si>
    <t>MAJOR TOM GAMBLE  USMC</t>
  </si>
  <si>
    <t>JEAN AND TOM SEERY</t>
  </si>
  <si>
    <t>Tom Seery</t>
  </si>
  <si>
    <t>SSGT EDWARD J HEMBREE</t>
  </si>
  <si>
    <t>5TH SFGGA VIETNAM</t>
  </si>
  <si>
    <t>US ARMY  1965 - 1969</t>
  </si>
  <si>
    <t>Edward J. Hembree</t>
  </si>
  <si>
    <t>LIZ &amp; JOE DAVIS</t>
  </si>
  <si>
    <t>LTCOL T ELLICOTT  USMC</t>
  </si>
  <si>
    <t>A1C W H ELLICOTT  USAF</t>
  </si>
  <si>
    <t>Joe Davis</t>
  </si>
  <si>
    <t>WITH WHOM WE SERVED</t>
  </si>
  <si>
    <t>GEORGE - DONNA MYERS</t>
  </si>
  <si>
    <t>George and Donna Myers</t>
  </si>
  <si>
    <t>CAPT DAVID DREW ARMY</t>
  </si>
  <si>
    <t>1964 - 1966 VIETNAM-65-</t>
  </si>
  <si>
    <t>66 93 EVAC-HOSPITAL</t>
  </si>
  <si>
    <t>David A Drew, MD</t>
  </si>
  <si>
    <t>JOHN NESTORIAK</t>
  </si>
  <si>
    <t>John Nestoriak Jr.</t>
  </si>
  <si>
    <t>LTC DEBORAH SHAW   USA</t>
  </si>
  <si>
    <t>1974 - 2002</t>
  </si>
  <si>
    <t>Deborah and Hubert Shaw</t>
  </si>
  <si>
    <t>COL HUGH SHAW, JR.  USA</t>
  </si>
  <si>
    <t>1965 -1993</t>
  </si>
  <si>
    <t>VIETNAM - GRENADA</t>
  </si>
  <si>
    <t>WE APPRECIATE</t>
  </si>
  <si>
    <t>THE VAGEL FAMILY</t>
  </si>
  <si>
    <t>Peter and Kathleen Vagell</t>
  </si>
  <si>
    <t>JAY AND MARGE KEELEY</t>
  </si>
  <si>
    <t>Jay and Marge Keeley</t>
  </si>
  <si>
    <t>JAMES K REINKER</t>
  </si>
  <si>
    <t>CAPTAIN   US ARMY</t>
  </si>
  <si>
    <t>1957 - 1967</t>
  </si>
  <si>
    <t>James K. Reinker</t>
  </si>
  <si>
    <t>CAPT USNR LES</t>
  </si>
  <si>
    <t>AND GAIL MIKALSON</t>
  </si>
  <si>
    <t>FOR ALL WHO SERVED</t>
  </si>
  <si>
    <t>Leslie Mikalson</t>
  </si>
  <si>
    <t>JOHN N. GOUDY, JR.</t>
  </si>
  <si>
    <t>WW II  PACIFIC THEATER</t>
  </si>
  <si>
    <t>David Goudy</t>
  </si>
  <si>
    <t>JOSEPH KENNEDY   WW I</t>
  </si>
  <si>
    <t>WILLIAM GERLICH   WW II</t>
  </si>
  <si>
    <t>Joe and Sandy Kennedy</t>
  </si>
  <si>
    <t>ROMAN FAMILY</t>
  </si>
  <si>
    <t>GOD BLESS ALL VETS</t>
  </si>
  <si>
    <t>WE ARE GRATEFUL</t>
  </si>
  <si>
    <t>FOR THEIR SERVICE</t>
  </si>
  <si>
    <t>John and Alice Roman</t>
  </si>
  <si>
    <t>SP4 ROBERT GUINN  USA</t>
  </si>
  <si>
    <t>KIA - VIETNAM</t>
  </si>
  <si>
    <t>Dennis Roupe</t>
  </si>
  <si>
    <t>SP4 DENNIS ROUPE  USA</t>
  </si>
  <si>
    <t>WIA - VIETNAM</t>
  </si>
  <si>
    <t>LANCE CORPORAL   USMC</t>
  </si>
  <si>
    <t>RICHARD J FENNESSY</t>
  </si>
  <si>
    <t>1959 - 1963</t>
  </si>
  <si>
    <t>Marie J. Fennessy</t>
  </si>
  <si>
    <t>JOHN E FISH III</t>
  </si>
  <si>
    <t>PAUL MARSHALL</t>
  </si>
  <si>
    <t>Judy Marshall</t>
  </si>
  <si>
    <t>TEC5 ARTHUR A SOLOMON</t>
  </si>
  <si>
    <t>SILVER STAR &amp; 2 OLC</t>
  </si>
  <si>
    <t>DIED OF WOUNDS</t>
  </si>
  <si>
    <t>Arthur Solomon</t>
  </si>
  <si>
    <t>PAUL A METZ</t>
  </si>
  <si>
    <t>LT USN</t>
  </si>
  <si>
    <t>SWIFT BOAT OFFICER</t>
  </si>
  <si>
    <t>Paul Metz</t>
  </si>
  <si>
    <t>JOE D JUSTICE</t>
  </si>
  <si>
    <t>MSGT  USAF</t>
  </si>
  <si>
    <t>1962 - 1982</t>
  </si>
  <si>
    <t>Joan Justice</t>
  </si>
  <si>
    <t>BILL AND SHERRY ONEAL</t>
  </si>
  <si>
    <t>Bill and Sherry O'Neal</t>
  </si>
  <si>
    <t>PROUD OF OUR SON</t>
  </si>
  <si>
    <t>MARC R. LeMAY</t>
  </si>
  <si>
    <t>CAPT. USAF</t>
  </si>
  <si>
    <t>Bob LeMay</t>
  </si>
  <si>
    <t>LTCOL JAMES W. FLYNN</t>
  </si>
  <si>
    <t>1910 - 2005</t>
  </si>
  <si>
    <t>WW II  EUROPEAN THEATER</t>
  </si>
  <si>
    <t>Michael and Susan Flynn</t>
  </si>
  <si>
    <t>JIM AND SUE KIELY</t>
  </si>
  <si>
    <t>ST JAMES PLANTATION</t>
  </si>
  <si>
    <t>Jim and Sue Kiely</t>
  </si>
  <si>
    <t>CPT JOHN C SEYMOUR</t>
  </si>
  <si>
    <t>John and Judy Seymour</t>
  </si>
  <si>
    <t>IN MEMORY OF THE</t>
  </si>
  <si>
    <t>BISSON &amp; PRICE FAMILY</t>
  </si>
  <si>
    <t>WHO PROUDLY SERVED</t>
  </si>
  <si>
    <t>ARMY, AIR FORCE, NAVY</t>
  </si>
  <si>
    <t>Stephen and Linda Bisson</t>
  </si>
  <si>
    <t>LCPL "CHAD" CLIFTON</t>
  </si>
  <si>
    <t>USMC  2003 - 2005</t>
  </si>
  <si>
    <t>OIF 2ND BN 5TH MAR</t>
  </si>
  <si>
    <t>A HERO - NOT FORGOTTEN</t>
  </si>
  <si>
    <t>Thomas Depew</t>
  </si>
  <si>
    <t>CPL THOMAS R DEPEW</t>
  </si>
  <si>
    <t>USMC  2003 - 2010</t>
  </si>
  <si>
    <t>IN SERVICE TO US ALL</t>
  </si>
  <si>
    <t>Elaine Boone</t>
  </si>
  <si>
    <t>CAPT WILLIAM P JAMES</t>
  </si>
  <si>
    <t>ROYAL SIGNALS CORPS</t>
  </si>
  <si>
    <t>WW II  EUROPE</t>
  </si>
  <si>
    <t>Terry James</t>
  </si>
  <si>
    <t>JEROME KEILMAN</t>
  </si>
  <si>
    <t>EUGENE RAWLEY</t>
  </si>
  <si>
    <t>John and Chris Keilman</t>
  </si>
  <si>
    <t>MGYSGT D G DOYLE JR</t>
  </si>
  <si>
    <t>LCDR D G DOYLE USNR</t>
  </si>
  <si>
    <t>CPL G D DOYLE US ARMY</t>
  </si>
  <si>
    <t>Dave Doyle</t>
  </si>
  <si>
    <t>GARY LEONARD La PLACA</t>
  </si>
  <si>
    <t>1965 - 1967  US ARMY MP</t>
  </si>
  <si>
    <t>ELIABETH &amp; JOHN</t>
  </si>
  <si>
    <t>ZIBLUT</t>
  </si>
  <si>
    <t>John and Elizabeth Ziblut</t>
  </si>
  <si>
    <t>McINTOSH FAMILY</t>
  </si>
  <si>
    <t>TO ALL WHO SERVED AND</t>
  </si>
  <si>
    <t>MAJOR BRIAN T LOONEY</t>
  </si>
  <si>
    <t>THANKS AND GOD BLESS</t>
  </si>
  <si>
    <t>Mac McIntosh</t>
  </si>
  <si>
    <t>LT SANDOR TOMASINI</t>
  </si>
  <si>
    <t>ARMY INFANTRY  68-71</t>
  </si>
  <si>
    <t>VIETNAM  1970</t>
  </si>
  <si>
    <t>Sandy Tomasini</t>
  </si>
  <si>
    <t>CAPTAIN DAN BENSON</t>
  </si>
  <si>
    <t>USAF SECURITY SERVICE</t>
  </si>
  <si>
    <t>1964 - 1968</t>
  </si>
  <si>
    <t>SERVED WITH PRIDE</t>
  </si>
  <si>
    <t>Christine J. Benson</t>
  </si>
  <si>
    <t>WILLIAM B KIMBALL JR</t>
  </si>
  <si>
    <t>1945 - 1968</t>
  </si>
  <si>
    <t>Donna and Art Falk</t>
  </si>
  <si>
    <t>LTCOL JESS RANDALL</t>
  </si>
  <si>
    <t>A6A PILOT</t>
  </si>
  <si>
    <t>Larry andn Sherron Oyler</t>
  </si>
  <si>
    <t>JOHN V OYLER</t>
  </si>
  <si>
    <t>1919 -2000</t>
  </si>
  <si>
    <t>JEREMIAH J HEALY FF</t>
  </si>
  <si>
    <t>HUGH BONNER MEDAL</t>
  </si>
  <si>
    <t>OUTSTANDING HEROISM</t>
  </si>
  <si>
    <t>FDNY  JULY 15 1959</t>
  </si>
  <si>
    <t>Dennis and Christina Healy</t>
  </si>
  <si>
    <t>JOHN E PELLISH S/SGT</t>
  </si>
  <si>
    <t>US ARMY WW II  POW 1944</t>
  </si>
  <si>
    <t>106 INF 422ND REG CO-G</t>
  </si>
  <si>
    <t>DENNIS T HEALY  SGT</t>
  </si>
  <si>
    <t>USAF SE ASIA 1966 - 70</t>
  </si>
  <si>
    <t>PACIFIC AIR COMMAND</t>
  </si>
  <si>
    <t>CAPT ROBERT F ARD</t>
  </si>
  <si>
    <t>1969 - 1973 USAF</t>
  </si>
  <si>
    <t>Kathryn K. Ard</t>
  </si>
  <si>
    <t>W THOMAS CAMPBELL</t>
  </si>
  <si>
    <t>FATHER &amp; SON</t>
  </si>
  <si>
    <t>WW II &amp; VIETNAM</t>
  </si>
  <si>
    <t>Tom Campbell</t>
  </si>
  <si>
    <t>DONALD V OAKLEY</t>
  </si>
  <si>
    <t>Donald Oakley</t>
  </si>
  <si>
    <t>THE JARVIS BROS OF MD</t>
  </si>
  <si>
    <t>MAURICE-NORM-CHARLES</t>
  </si>
  <si>
    <t>LAURENCE-JULIAN (KIA)</t>
  </si>
  <si>
    <t>Joanne and Michael Horgan</t>
  </si>
  <si>
    <t>THE ZIMMERMAN BROS</t>
  </si>
  <si>
    <t>JOHN W &amp; RAYMOND M JR</t>
  </si>
  <si>
    <t>OF DC - USN - WW II</t>
  </si>
  <si>
    <t>MICHAEL K HORGAN</t>
  </si>
  <si>
    <t>LSGT JIM WILLIAMS USA</t>
  </si>
  <si>
    <t>1943-66 WW II KOREA</t>
  </si>
  <si>
    <t>CAPT BILL WILLIAMS</t>
  </si>
  <si>
    <t>USA  WW II  1941 - 45</t>
  </si>
  <si>
    <t>Tom and Bev Williams</t>
  </si>
  <si>
    <t>THANKS TO OUR FATHERS</t>
  </si>
  <si>
    <t>HARRY E MAY</t>
  </si>
  <si>
    <t>EDWARD L KONTOS</t>
  </si>
  <si>
    <t>BOTH USN  WWII</t>
  </si>
  <si>
    <t>Elaine and Ken Kontos</t>
  </si>
  <si>
    <t>GRILES WOOLDRIDGE</t>
  </si>
  <si>
    <t>FAMILIES</t>
  </si>
  <si>
    <t>WE HONOR</t>
  </si>
  <si>
    <t>Sue Wooldridge</t>
  </si>
  <si>
    <t>COL RAYMOND L COLLINS</t>
  </si>
  <si>
    <t>US ARMY  1924 - 1954</t>
  </si>
  <si>
    <t>WW II - BSM, KOREA</t>
  </si>
  <si>
    <t>Barbara Collins Lidoski</t>
  </si>
  <si>
    <t>WE HONOR OUR HEROS</t>
  </si>
  <si>
    <t>FOR THEIR SERVICE AND</t>
  </si>
  <si>
    <t>SACRIFICE - THANK YOU!</t>
  </si>
  <si>
    <t>THE KOERNIGS</t>
  </si>
  <si>
    <t>Pat Koernig</t>
  </si>
  <si>
    <t>LT. BRETT KIRWAN  USN</t>
  </si>
  <si>
    <t>CAPT. TODD KIRWAN  USA</t>
  </si>
  <si>
    <t>Rob and Cindy Kirwan</t>
  </si>
  <si>
    <t>TO ALL WHO GAVE THEIR</t>
  </si>
  <si>
    <t>LIFE FOR OUR FREEDOM</t>
  </si>
  <si>
    <t>DON &amp; TRICIA HILL</t>
  </si>
  <si>
    <t>Don and Tricia Hill</t>
  </si>
  <si>
    <t>ULRICHS FAMILY</t>
  </si>
  <si>
    <t>HEARTFELT THANKS</t>
  </si>
  <si>
    <t>Barbara and Henry Ulrichs</t>
  </si>
  <si>
    <t>OUR GRATITUDE TO ALL</t>
  </si>
  <si>
    <t>2011 SJLGA</t>
  </si>
  <si>
    <t>St. James Ladies Golf Association</t>
  </si>
  <si>
    <t>2011 ST. JAMES LADIES</t>
  </si>
  <si>
    <t>GOLF ASSOCIATION</t>
  </si>
  <si>
    <t>KOEPPER FAMILY</t>
  </si>
  <si>
    <t>IN APPRECIATION</t>
  </si>
  <si>
    <t>OF ALL WHO SERVED</t>
  </si>
  <si>
    <t>Steven and Ann Koepper</t>
  </si>
  <si>
    <t>THE WALZ BOYS</t>
  </si>
  <si>
    <t>LES  USAF</t>
  </si>
  <si>
    <t>STAN  USCG</t>
  </si>
  <si>
    <t>STEVE  USN</t>
  </si>
  <si>
    <t>Vikki Walz</t>
  </si>
  <si>
    <t>JACK RUSSELL FORGACH</t>
  </si>
  <si>
    <t>WW II - PACIFIC</t>
  </si>
  <si>
    <t>FCO</t>
  </si>
  <si>
    <t>USS AUCILLA AO56</t>
  </si>
  <si>
    <t>ROBERT B. HUEY JR</t>
  </si>
  <si>
    <t>COLONEL USAF</t>
  </si>
  <si>
    <t>Robert B. Huey Jr.</t>
  </si>
  <si>
    <t>HARRY &amp; LYNN COMER</t>
  </si>
  <si>
    <t>Harry and Lynn Comer</t>
  </si>
  <si>
    <t>NEIL HIGGINS</t>
  </si>
  <si>
    <t>1945 - 2010</t>
  </si>
  <si>
    <t>US ARMY - VIETNAM</t>
  </si>
  <si>
    <t>LOVE, YOUR FAMILY</t>
  </si>
  <si>
    <t>Mary and Dennis Marks</t>
  </si>
  <si>
    <t>DWANE FAMILY</t>
  </si>
  <si>
    <t>GOD BLESS YOU</t>
  </si>
  <si>
    <t>Peter D. Dwane</t>
  </si>
  <si>
    <t>ALYSSA DWANE ROSELLI</t>
  </si>
  <si>
    <t>MAJ DALE T McLAUGHLIN</t>
  </si>
  <si>
    <t>BETTY AND DICK TAYLOR</t>
  </si>
  <si>
    <t>WE PRAY FOR AND HONOR</t>
  </si>
  <si>
    <t>THOSE WHO SERVED OUR</t>
  </si>
  <si>
    <t>COUNTRY</t>
  </si>
  <si>
    <t>Dick and Betty Taylor</t>
  </si>
  <si>
    <t>CHARLES E SAUL  USN</t>
  </si>
  <si>
    <t>1-4-1931  1-17-2011</t>
  </si>
  <si>
    <t>USS D.H. FOX</t>
  </si>
  <si>
    <t>Sandra S. Mattison</t>
  </si>
  <si>
    <t>JAMES L WILSON</t>
  </si>
  <si>
    <t>CW03   US ARMY</t>
  </si>
  <si>
    <t>WW II  KOREA  GERMANY</t>
  </si>
  <si>
    <t>Carroll N. Harris</t>
  </si>
  <si>
    <t>CARROLL N HARRIS  III</t>
  </si>
  <si>
    <t>LTCOL  USMC</t>
  </si>
  <si>
    <t>1990 - 2011</t>
  </si>
  <si>
    <t>LAGOON CT. NEIGHBORS</t>
  </si>
  <si>
    <t>HONOR AND THANK</t>
  </si>
  <si>
    <t>ALL WHO SERVE TO</t>
  </si>
  <si>
    <t>KEEP US SAFE AND FREE</t>
  </si>
  <si>
    <t>Lagoon Court Neighbors</t>
  </si>
  <si>
    <t>ALL VETERANS</t>
  </si>
  <si>
    <t>DONALD J LUCAS FAMILY</t>
  </si>
  <si>
    <t>Judith A. Lucas</t>
  </si>
  <si>
    <t>MASSARO FAMILY VETS</t>
  </si>
  <si>
    <t>1917 - 2011</t>
  </si>
  <si>
    <t>WW I, WW II. KOREA</t>
  </si>
  <si>
    <t>VIETNAM, IRAQ</t>
  </si>
  <si>
    <t>Glenn and Gladys Massaro</t>
  </si>
  <si>
    <t>THANKS TO</t>
  </si>
  <si>
    <t>OUR ARMED FORCES</t>
  </si>
  <si>
    <t>HELEN &amp; JACK WALLACE</t>
  </si>
  <si>
    <t>AND FAMILY</t>
  </si>
  <si>
    <t>Jack and Helen Wallace</t>
  </si>
  <si>
    <t>COL CLAUDE D PHILLIPS</t>
  </si>
  <si>
    <t>USAF  1922 - 2011</t>
  </si>
  <si>
    <t>Claudia Phillips</t>
  </si>
  <si>
    <t>McNAMARA FAMILY</t>
  </si>
  <si>
    <t>David McNamara</t>
  </si>
  <si>
    <t>FAMILY &amp; FRIENDS WHO</t>
  </si>
  <si>
    <t>SERVED THIS NATION</t>
  </si>
  <si>
    <t>SESSA &amp; QUINN FAMILY</t>
  </si>
  <si>
    <t>Jean and Rick Sessa</t>
  </si>
  <si>
    <t>DUNCAN FAMILY</t>
  </si>
  <si>
    <t>Paul Duncan</t>
  </si>
  <si>
    <t>DOLORES &amp; JOHN FOGGO</t>
  </si>
  <si>
    <t>Dolores and John Foggo</t>
  </si>
  <si>
    <t>THE NOVAK</t>
  </si>
  <si>
    <t>Thomas C. Novak Jr.</t>
  </si>
  <si>
    <t>HONORING OUR DADS</t>
  </si>
  <si>
    <t>NICOLAS RIVERA  WW II</t>
  </si>
  <si>
    <t>JOHN SCHNOBRICK  WW II</t>
  </si>
  <si>
    <t>THE SCHNOBRICK FAMILY</t>
  </si>
  <si>
    <t>Paul and Minnie Schnobrick</t>
  </si>
  <si>
    <t>TSGT JOSEPH BOWEN</t>
  </si>
  <si>
    <t>USA HQ 10TH-PACIFIC</t>
  </si>
  <si>
    <t>1943 - 1946   WW II</t>
  </si>
  <si>
    <t>Joseph Bowen</t>
  </si>
  <si>
    <t>CHARLES S CHRISTADORE</t>
  </si>
  <si>
    <t>1921 - 2011</t>
  </si>
  <si>
    <t>WW II, PURPLE HEART</t>
  </si>
  <si>
    <t>Jo Ann and Mike Barnoski</t>
  </si>
  <si>
    <t>SPC4 GLENN C VALENTE</t>
  </si>
  <si>
    <t>COUSIN</t>
  </si>
  <si>
    <t>Mark and Ellen Root</t>
  </si>
  <si>
    <t>CLYDE E ROOT</t>
  </si>
  <si>
    <t>EARL D BARDELL  USMC</t>
  </si>
  <si>
    <t>WW 11, KOREA</t>
  </si>
  <si>
    <t>COASTAL CARPET</t>
  </si>
  <si>
    <t>MAINTENANCE</t>
  </si>
  <si>
    <t>Craig H. Howell</t>
  </si>
  <si>
    <t>RICHARD H STEWART JR</t>
  </si>
  <si>
    <t>POST 543</t>
  </si>
  <si>
    <t>HONOR ALL WHO SERVE</t>
  </si>
  <si>
    <t>HENRY O CHAPMAN JR.</t>
  </si>
  <si>
    <t>CPT-ARMY-WW II &amp; KOREA</t>
  </si>
  <si>
    <t>10/1/1929 - 10/27/2008</t>
  </si>
  <si>
    <t>Katie Allardyce</t>
  </si>
  <si>
    <t>STYERS FAMILY - USN</t>
  </si>
  <si>
    <t>Ben and Pat Styers</t>
  </si>
  <si>
    <t>CMSGT JAMES WESTBROOK</t>
  </si>
  <si>
    <t>USAF  1941 - 1971</t>
  </si>
  <si>
    <t>WW II, VIETNAM</t>
  </si>
  <si>
    <t>James and Bonnie Westbrook</t>
  </si>
  <si>
    <t>TO HONOR THOSE WHO</t>
  </si>
  <si>
    <t>NORM &amp; PAT PRAET</t>
  </si>
  <si>
    <t>Norman and Patricia Praet</t>
  </si>
  <si>
    <t>CPL JACK FEARNS</t>
  </si>
  <si>
    <t>USMC -VIETNAM</t>
  </si>
  <si>
    <t>Jack and Lynne Fearns</t>
  </si>
  <si>
    <t>SGT JAMES F FEARNS</t>
  </si>
  <si>
    <t>USMC   WW II</t>
  </si>
  <si>
    <t>S/SGT JOSEPH F NERNEY</t>
  </si>
  <si>
    <t>USA - WW II</t>
  </si>
  <si>
    <t>10TH MT DIVISION</t>
  </si>
  <si>
    <t>HAZELTON BUILDERS</t>
  </si>
  <si>
    <t>ROBERT AND BARBARA</t>
  </si>
  <si>
    <t>HAZELTON</t>
  </si>
  <si>
    <t>Robert &amp; Barbara Hazelton</t>
  </si>
  <si>
    <t>HARRY G BINAU  WW II</t>
  </si>
  <si>
    <t>ROBERT J BINAU  WW II</t>
  </si>
  <si>
    <t>DAVID K BINAU  ARMY</t>
  </si>
  <si>
    <t>John and Mary Winter</t>
  </si>
  <si>
    <t>CW2 JACKIE R SIMPSON</t>
  </si>
  <si>
    <t>1953 - 1977    USAF &amp; USAA</t>
  </si>
  <si>
    <t>William B. Simpson</t>
  </si>
  <si>
    <t>LT RICHARD STURDEVANT</t>
  </si>
  <si>
    <t>US NAVY RESERVE</t>
  </si>
  <si>
    <t>Richard Sturdevant</t>
  </si>
  <si>
    <t>PVT SAMUEL</t>
  </si>
  <si>
    <t>STURDEVANT</t>
  </si>
  <si>
    <t>US CONTINENTAL ARMY</t>
  </si>
  <si>
    <t>1775 - 1781</t>
  </si>
  <si>
    <t>WALTER IVCIC</t>
  </si>
  <si>
    <t>USN AOM FIRST CLASS</t>
  </si>
  <si>
    <t>1942 - 1945  WW II</t>
  </si>
  <si>
    <t>Walter Ivcic</t>
  </si>
  <si>
    <t>PETER &amp; LOUISE SAARI</t>
  </si>
  <si>
    <t>Peter &amp; Louise Saari</t>
  </si>
  <si>
    <t>IN HONOR OF OUR SONS</t>
  </si>
  <si>
    <t>CPT DANIEL SCHULTZ</t>
  </si>
  <si>
    <t>CPT MATTHEW SHULTZ</t>
  </si>
  <si>
    <t>LTC ROBERT SCHULTZ</t>
  </si>
  <si>
    <t>Mr. and Mrs. Anton Schultz</t>
  </si>
  <si>
    <t>1STCLPO BROCK GRIFFIN</t>
  </si>
  <si>
    <t>US NAVY 1943 - 1945</t>
  </si>
  <si>
    <t>Ken and Barbara Griffin</t>
  </si>
  <si>
    <t>CW4 FELIX R MICHAEL</t>
  </si>
  <si>
    <t>US ARMY  1943 - 1977</t>
  </si>
  <si>
    <t>1LT FRANK BARRON  USA</t>
  </si>
  <si>
    <t>1LT RICHARD TARRALL</t>
  </si>
  <si>
    <t>USA  1968 - 1970  VIETNAM</t>
  </si>
  <si>
    <t>Richard Tarrall</t>
  </si>
  <si>
    <t>EDWIN L HECKEL PFC</t>
  </si>
  <si>
    <t>WW II, 1942 - 1945</t>
  </si>
  <si>
    <t>Edith Koren</t>
  </si>
  <si>
    <t>SCHOLEFIELD FAMILY</t>
  </si>
  <si>
    <t>William C Scholefield</t>
  </si>
  <si>
    <t>JOSEPH C CONATY</t>
  </si>
  <si>
    <t>FRANK C BUCK JR</t>
  </si>
  <si>
    <t>HERMAN LOWDENSLAGER</t>
  </si>
  <si>
    <t>ED HOWELL  RITA ROLAND</t>
  </si>
  <si>
    <t>FAMILY THANK ALL THOSE</t>
  </si>
  <si>
    <t>Ed Howell</t>
  </si>
  <si>
    <t>NOICE FAMILY</t>
  </si>
  <si>
    <t>SO OTHERS MAY LIVE</t>
  </si>
  <si>
    <t>NEVER FORGOTTEN</t>
  </si>
  <si>
    <t>Mike and Vickie Noice</t>
  </si>
  <si>
    <t>WE THANK ALL THOSE</t>
  </si>
  <si>
    <t>JIM &amp; BRENDA RUTLEDGE</t>
  </si>
  <si>
    <t>James R. Rutledge</t>
  </si>
  <si>
    <t>ARTHUR ARMSTRONG  ARMY</t>
  </si>
  <si>
    <t>STACY A SIMS  ARMY JAG</t>
  </si>
  <si>
    <t>COL MARTIN SIMS  JAG</t>
  </si>
  <si>
    <t>JERRY DANIEL  USN BAND</t>
  </si>
  <si>
    <t>Doty Armstrong</t>
  </si>
  <si>
    <t>LT THOMAS KUNDTZ</t>
  </si>
  <si>
    <t>USN    VIETNAM</t>
  </si>
  <si>
    <t>BROTHER</t>
  </si>
  <si>
    <t>Raymond J. Larrisey</t>
  </si>
  <si>
    <t>CPT JUSTIN C BARNES</t>
  </si>
  <si>
    <t>US ARMY JAG CORPS</t>
  </si>
  <si>
    <t>SERVING SINCE 2007</t>
  </si>
  <si>
    <t>Jeffrey C. Barnes</t>
  </si>
  <si>
    <t>CPO DENVER M BRYANT</t>
  </si>
  <si>
    <t>1925 - 2009</t>
  </si>
  <si>
    <t>WW II, KOREA USN</t>
  </si>
  <si>
    <t>David and Jane Pearce</t>
  </si>
  <si>
    <t>CPT MICHAEL W  MARKER</t>
  </si>
  <si>
    <t>1944 - 1971</t>
  </si>
  <si>
    <t>USA PIKOT VIETNAM</t>
  </si>
  <si>
    <t>CSM JACK M JENNINGS</t>
  </si>
  <si>
    <t>1929 - 2010</t>
  </si>
  <si>
    <t>USA  KOREA  VIETNAM</t>
  </si>
  <si>
    <t>SGT ALBERT A PICKETT</t>
  </si>
  <si>
    <t>USA  1940 - 1945  WW II</t>
  </si>
  <si>
    <t>PATTON'S 2nd ARMOR DIV</t>
  </si>
  <si>
    <t>LTCOL JAMES R HARTUNG</t>
  </si>
  <si>
    <t>Glen and Dottie Hartung</t>
  </si>
  <si>
    <t>LT COL EDWIN E BAUER</t>
  </si>
  <si>
    <t>USN JOHN DENNIS</t>
  </si>
  <si>
    <t>USS NEW YORK  PACIFIC</t>
  </si>
  <si>
    <t>TSGT STEPHEN R HASH</t>
  </si>
  <si>
    <t>USAF 1957 -2009</t>
  </si>
  <si>
    <t>WE LOVE AND MISS YOU</t>
  </si>
  <si>
    <t>Norman Hash</t>
  </si>
  <si>
    <t>DENNIS &amp; JANET MOORE</t>
  </si>
  <si>
    <t>Dennis &amp; Janet Moore</t>
  </si>
  <si>
    <t>JACOB TORAU  USA  WW II</t>
  </si>
  <si>
    <t>OF MY FATHER</t>
  </si>
  <si>
    <t>Ann T. Sharples</t>
  </si>
  <si>
    <t>LT FERN DAHLGREN ARMY</t>
  </si>
  <si>
    <t>1941 -1946 (BLOOM)</t>
  </si>
  <si>
    <t>Barbara and John Lawrence</t>
  </si>
  <si>
    <t>LTCOL JAMES BLOOM</t>
  </si>
  <si>
    <t>1941 -1965  US ARMY</t>
  </si>
  <si>
    <t>WW II  KOREA</t>
  </si>
  <si>
    <t>FIRST SERGEANT US ARMY</t>
  </si>
  <si>
    <t>EDWARD WILLIAMS JR</t>
  </si>
  <si>
    <t>1954 - 1982</t>
  </si>
  <si>
    <t>Edward Williams Jr.</t>
  </si>
  <si>
    <t>CAPT HORACE BAKER</t>
  </si>
  <si>
    <t>ARMY</t>
  </si>
  <si>
    <t>1STLT DOROTHY A BAKER</t>
  </si>
  <si>
    <t>ANC</t>
  </si>
  <si>
    <t>Dr. and Mrs. Horace Baker</t>
  </si>
  <si>
    <t>LTCOL FRANCIS L MAHAN</t>
  </si>
  <si>
    <t>WW II 82ND ABN 508PIR</t>
  </si>
  <si>
    <t>ARMY  SPECIAL FORCES</t>
  </si>
  <si>
    <t>1941 - 1966</t>
  </si>
  <si>
    <t>Ron and Judy Carmichael</t>
  </si>
  <si>
    <t>GOD BLESS OUR MEN -</t>
  </si>
  <si>
    <t>WOMEN IN UNIFORM</t>
  </si>
  <si>
    <t>CONTE-MORRIS FAMILIES</t>
  </si>
  <si>
    <t>WAYNE N. MARION</t>
  </si>
  <si>
    <t>Debbie Sickinger</t>
  </si>
  <si>
    <t>TO OUR FATHERS MEMORY</t>
  </si>
  <si>
    <t>BEN RABIN</t>
  </si>
  <si>
    <t>ARTHUR SCHAER</t>
  </si>
  <si>
    <t>Carol Schaer</t>
  </si>
  <si>
    <t>ARTHUR SIMONELLI</t>
  </si>
  <si>
    <t>US ARMY  WW I</t>
  </si>
  <si>
    <t>JOHN R MATTER</t>
  </si>
  <si>
    <t>DA NANG VIETNAM</t>
  </si>
  <si>
    <t>L BURWELL GUNN "PETE"</t>
  </si>
  <si>
    <t>CPT. U.S. ARMY</t>
  </si>
  <si>
    <t>VIETNAM  1970 - 1971</t>
  </si>
  <si>
    <t>SILVER SPUR 39</t>
  </si>
  <si>
    <t>Vickie Gunn</t>
  </si>
  <si>
    <t>1LT WILLIAM B COGGINS</t>
  </si>
  <si>
    <t>US ARMY - INFANTRY OCS</t>
  </si>
  <si>
    <t>MILITARY INTELLIGENCE</t>
  </si>
  <si>
    <t>VIETNAM - 1968</t>
  </si>
  <si>
    <t>JOHN E SIMONIK</t>
  </si>
  <si>
    <t>CM1 US NAVY</t>
  </si>
  <si>
    <t>WORLD WAR  II</t>
  </si>
  <si>
    <t>Diane Simonik</t>
  </si>
  <si>
    <t>CRIEN H SCHEMERING</t>
  </si>
  <si>
    <t>COL US ARMY</t>
  </si>
  <si>
    <t>SILVER/BRONZE STARS</t>
  </si>
  <si>
    <t>STEPHEN C SCHEMERING</t>
  </si>
  <si>
    <t>25TH INF DIV</t>
  </si>
  <si>
    <t>SGT PAUL SCHWANZER</t>
  </si>
  <si>
    <t>MEDIC</t>
  </si>
  <si>
    <t>GEN PATTON'S 3RD ARMY</t>
  </si>
  <si>
    <t>1941 - 1945</t>
  </si>
  <si>
    <t>JOSEPH LEE KELLY</t>
  </si>
  <si>
    <t>1940 - 1945</t>
  </si>
  <si>
    <t>CUBA &amp; SOUTH PACIFIC</t>
  </si>
  <si>
    <t>U.S. MARINE CORPS</t>
  </si>
  <si>
    <t>WILLIAM H PRICE</t>
  </si>
  <si>
    <t>1944 -1947</t>
  </si>
  <si>
    <t>INFANTRY - RIFLEMAN</t>
  </si>
  <si>
    <t>NEIL R DEEGAN</t>
  </si>
  <si>
    <t>IN MEMORY:  FRIEND</t>
  </si>
  <si>
    <t>HUSBAND/DAD/GRANDPOP</t>
  </si>
  <si>
    <t>SCOTT HETTINGER  USNR</t>
  </si>
  <si>
    <t>ROBERT HERRINGER  USA</t>
  </si>
  <si>
    <t>RODNEY HETTINGER  USN</t>
  </si>
  <si>
    <t>JESSE TOBIAS  USAF</t>
  </si>
  <si>
    <t>Scot Hettinger</t>
  </si>
  <si>
    <t>IN HONOR OF SERVICE</t>
  </si>
  <si>
    <t>MARK ZAENGLEIN</t>
  </si>
  <si>
    <t>82ND AIRBORNE  68-70</t>
  </si>
  <si>
    <t>Connie Zaenglein</t>
  </si>
  <si>
    <t>RONALD F ALMETER</t>
  </si>
  <si>
    <t>SGT U.S. AIR FORCE</t>
  </si>
  <si>
    <t>12-16-66 TO 12-09-70</t>
  </si>
  <si>
    <t>Sue A Almeter</t>
  </si>
  <si>
    <t>BUD LYDICK</t>
  </si>
  <si>
    <t>Suzanne Williams</t>
  </si>
  <si>
    <t>WILLIAM SCHOLFIELD</t>
  </si>
  <si>
    <t>ADMIRAL T DONALDSON V</t>
  </si>
  <si>
    <t>FOR FAMIL MEMBERS</t>
  </si>
  <si>
    <t>1883 - PRESENT</t>
  </si>
  <si>
    <t>Tom Donaldson</t>
  </si>
  <si>
    <t>SILLIMAN BROTHERS</t>
  </si>
  <si>
    <t>PAUL, JOHN, WOODY</t>
  </si>
  <si>
    <t>MARINES, ARMY, ARMY</t>
  </si>
  <si>
    <t>Paul Silliman</t>
  </si>
  <si>
    <t>SCARWAF KOREA 52 - 53</t>
  </si>
  <si>
    <t>NOEL J CHISHOLM</t>
  </si>
  <si>
    <t>IN MEMORY OF OUR MIAS</t>
  </si>
  <si>
    <t>KOREA WAR VETERANS</t>
  </si>
  <si>
    <t>Noel Chisholm</t>
  </si>
  <si>
    <t>NORMAN BEACH  US NAVY</t>
  </si>
  <si>
    <t>1958 -1962</t>
  </si>
  <si>
    <t>GOD BLESS OUR VETS</t>
  </si>
  <si>
    <t>AND GOD BLESS AMERICA</t>
  </si>
  <si>
    <t>Norman F Beach</t>
  </si>
  <si>
    <t>HENRY HALL</t>
  </si>
  <si>
    <t>1956 - 1959</t>
  </si>
  <si>
    <t>2ND ARMORED CAV</t>
  </si>
  <si>
    <t>FULDA GAP GERMANY</t>
  </si>
  <si>
    <t>Henry P Hall</t>
  </si>
  <si>
    <t>ROGER ZELINSKY</t>
  </si>
  <si>
    <t>CAPTAIN/AVIATOR USMC</t>
  </si>
  <si>
    <t>1965 - 1972</t>
  </si>
  <si>
    <t>VIETNAM 520+ SORTIES</t>
  </si>
  <si>
    <t>Roger Zelinsky</t>
  </si>
  <si>
    <t>RICHARD M SMITH</t>
  </si>
  <si>
    <t>CPT US ARMY ORDNANCE</t>
  </si>
  <si>
    <t>IN MEMORY AND HONOR</t>
  </si>
  <si>
    <t>Mr. and Mrs. Richard Smith</t>
  </si>
  <si>
    <t>HOMER E. WRIGHT JR</t>
  </si>
  <si>
    <t>85TH INFANTRY DIV &amp;</t>
  </si>
  <si>
    <t>7TH REPLACEMENT DEPOT</t>
  </si>
  <si>
    <t>ITALY  WW II</t>
  </si>
  <si>
    <t>Martha W Hopkins</t>
  </si>
  <si>
    <t>OSCAR NORD</t>
  </si>
  <si>
    <t>PVT. U.S. ARMY</t>
  </si>
  <si>
    <t>FRANCE 1ST WORLD WAR</t>
  </si>
  <si>
    <t>DIED OF MUSTARD GAS</t>
  </si>
  <si>
    <t>Philip Nord</t>
  </si>
  <si>
    <t>TREBA LARKIN PHILLIPS</t>
  </si>
  <si>
    <t>US ARMY CAVALRY</t>
  </si>
  <si>
    <t>WORLD WAR  I</t>
  </si>
  <si>
    <t>JOSEPH F LIDOSKI SR</t>
  </si>
  <si>
    <t>CHARTER MEMBER SJFD</t>
  </si>
  <si>
    <t>EMT, MEMBER FIRE BOARD</t>
  </si>
  <si>
    <t>1999 - 2012</t>
  </si>
  <si>
    <t>Dorothy Collins Robinson</t>
  </si>
  <si>
    <t>MEL AND JO CORNILLAUD</t>
  </si>
  <si>
    <t>FOR ALL MEN AND WOMEN</t>
  </si>
  <si>
    <t>Mel and Jo Cornillaud</t>
  </si>
  <si>
    <t>DAVID QUINN ET2 NAVY</t>
  </si>
  <si>
    <t>1953 - 1958</t>
  </si>
  <si>
    <t>KOREAN VETERAN</t>
  </si>
  <si>
    <t>David D Quinn</t>
  </si>
  <si>
    <t>PAUL F BRADY</t>
  </si>
  <si>
    <t>US AIR FORCE  RETIRED</t>
  </si>
  <si>
    <t>MSGT  VIETNAM VETERAN</t>
  </si>
  <si>
    <t>LANGLEY D. ARMENTROUT</t>
  </si>
  <si>
    <t>CPO US NAVY  WW II</t>
  </si>
  <si>
    <t>MILDRED E. GLOVER</t>
  </si>
  <si>
    <t>LT US ARMY  WW II</t>
  </si>
  <si>
    <t>Kathryn Daily</t>
  </si>
  <si>
    <t>LCDR BERNARD J DAILY</t>
  </si>
  <si>
    <t>IN LOVING MEMORY AND</t>
  </si>
  <si>
    <t>GRATEFUL APPRECIATION</t>
  </si>
  <si>
    <t>OF FRANK, KING, ALLAN</t>
  </si>
  <si>
    <t>AND DAVID BURKART</t>
  </si>
  <si>
    <t>Kim and Kevin Black</t>
  </si>
  <si>
    <t>FAVER FAMILY</t>
  </si>
  <si>
    <t>CLIFTON  USN  WW II</t>
  </si>
  <si>
    <t>DENNIS  USA  74 -04</t>
  </si>
  <si>
    <t>DEREK  USCG  06 - 10</t>
  </si>
  <si>
    <t>LEE AND KAREN AUSTIN</t>
  </si>
  <si>
    <t>Karen Austin</t>
  </si>
  <si>
    <t>IN HONOR OF OUR DADS</t>
  </si>
  <si>
    <t>MIKE TRIOLO   WW II</t>
  </si>
  <si>
    <t>ED WINTER   WW II</t>
  </si>
  <si>
    <t>THE TRIOLO FAMILY</t>
  </si>
  <si>
    <t>Russ Triolo</t>
  </si>
  <si>
    <t>SIDNEY JAMES LANIER</t>
  </si>
  <si>
    <t>SGT. USAAF</t>
  </si>
  <si>
    <t>WW II  1941 - 1945</t>
  </si>
  <si>
    <t>DAD</t>
  </si>
  <si>
    <t>Stephen and Sharon Lanier</t>
  </si>
  <si>
    <t>MARTIN GANS</t>
  </si>
  <si>
    <t>SGT MAJOR US ARMY</t>
  </si>
  <si>
    <t>1941 - 1980</t>
  </si>
  <si>
    <t>WW II  ARMY RESERVE</t>
  </si>
  <si>
    <t>WILLIAM T. CLUSE</t>
  </si>
  <si>
    <t>LTCOL US AIR FORCE</t>
  </si>
  <si>
    <t>ROBERT D MORROW</t>
  </si>
  <si>
    <t>U.S. ARMY RETIRED LTC</t>
  </si>
  <si>
    <t>1954 - 1974</t>
  </si>
  <si>
    <t>Robert D. Morrow</t>
  </si>
  <si>
    <t>JOHN MARK GANNON</t>
  </si>
  <si>
    <t>9-19-1946  2-16-2000</t>
  </si>
  <si>
    <t>Chuck Yartz</t>
  </si>
  <si>
    <t>BRAUN-MACBARB FAMILY</t>
  </si>
  <si>
    <t>THANK YOU FOR KEEPING</t>
  </si>
  <si>
    <t>AMERICA SAFE</t>
  </si>
  <si>
    <t>Peter Braun - Merry MacBarb</t>
  </si>
  <si>
    <t>SGT RAYMOND H. SMITH</t>
  </si>
  <si>
    <t>USMC-KOREA  USA-WW II</t>
  </si>
  <si>
    <t>PROUD OF MY FATHER</t>
  </si>
  <si>
    <t>ANN L. DANLEY</t>
  </si>
  <si>
    <t>Ann Danley</t>
  </si>
  <si>
    <t>DOUGLAS J DANLEY</t>
  </si>
  <si>
    <t>LTCOL USMC  1958 - 1988</t>
  </si>
  <si>
    <t>SEMPER FI TO OUR DAD</t>
  </si>
  <si>
    <t>VANESSA AND PATRICK</t>
  </si>
  <si>
    <t>TO THOSE THAT SERVED</t>
  </si>
  <si>
    <t>POA</t>
  </si>
  <si>
    <t>St. James POA</t>
  </si>
  <si>
    <t>JOHN S WILLIAMS</t>
  </si>
  <si>
    <t>GM2  US NAVY</t>
  </si>
  <si>
    <t>APD WALTER X YOUNG</t>
  </si>
  <si>
    <t>Dave and Holly Williams</t>
  </si>
  <si>
    <t>JOHN H WILLIAMS</t>
  </si>
  <si>
    <t>DIAN R WILLIAMS</t>
  </si>
  <si>
    <t>Dian R Williams</t>
  </si>
  <si>
    <t>RICHARD J CLEARY</t>
  </si>
  <si>
    <t>SPECIALIST 4TH CLASS</t>
  </si>
  <si>
    <t>E-4 ARTILLERY SUPPORT</t>
  </si>
  <si>
    <t>Joseph Cleary</t>
  </si>
  <si>
    <t>LT PIERCE</t>
  </si>
  <si>
    <t>GUADACANAL</t>
  </si>
  <si>
    <t>THANKS DAD</t>
  </si>
  <si>
    <t>Stephen Pierce</t>
  </si>
  <si>
    <t>SGT JACK LAMOREAUX</t>
  </si>
  <si>
    <t>U.S. ARMY AIR FORCES</t>
  </si>
  <si>
    <t>Byrd Lamoreaux</t>
  </si>
  <si>
    <t>JANE AND BOB CARTER</t>
  </si>
  <si>
    <t>Robert Carter</t>
  </si>
  <si>
    <t>SCOTT KINDSUATER</t>
  </si>
  <si>
    <t>BRIG. GEN. USAF</t>
  </si>
  <si>
    <t>WIFE LISA</t>
  </si>
  <si>
    <t>NELSON J GOUDY</t>
  </si>
  <si>
    <t>RUSSELL C GOUDY</t>
  </si>
  <si>
    <t>EDWARD F KRAUSE</t>
  </si>
  <si>
    <t>WORLD WAR I</t>
  </si>
  <si>
    <t>FRANK L DANOWSKI</t>
  </si>
  <si>
    <t>LT COMMANDER NAVY</t>
  </si>
  <si>
    <t>Mary Anne Cleary</t>
  </si>
  <si>
    <t>WITH DEEP GRATITUDE</t>
  </si>
  <si>
    <t>FOR HAVING SERVED</t>
  </si>
  <si>
    <t>STEPHANIE &amp; RICHARD</t>
  </si>
  <si>
    <t>PALMER</t>
  </si>
  <si>
    <t>Richard and Stephanie Palmer</t>
  </si>
  <si>
    <t>JOSEPH J SALAMIDO</t>
  </si>
  <si>
    <t>Carl Myslewicz</t>
  </si>
  <si>
    <t>IN MEMORIUM</t>
  </si>
  <si>
    <t>EDWARD L MYSLEWICZ</t>
  </si>
  <si>
    <t>PFC HARRY E LOWE</t>
  </si>
  <si>
    <t>26TH INFANTRY DIV</t>
  </si>
  <si>
    <t>THIRD ARMY FRANCE</t>
  </si>
  <si>
    <t>WW II   1944</t>
  </si>
  <si>
    <t>Garland E. Lowe, P.A.</t>
  </si>
  <si>
    <t>WALT MADSEN</t>
  </si>
  <si>
    <t>1961 - 1963</t>
  </si>
  <si>
    <t>Walt Madsden</t>
  </si>
  <si>
    <t>GRANDSON KYLE KRAMER</t>
  </si>
  <si>
    <t>U.S.COAST GUARD</t>
  </si>
  <si>
    <t>WALT AND JOAN MADSEN</t>
  </si>
  <si>
    <t>LT. WALTER C. KROLMAN</t>
  </si>
  <si>
    <t>LT. SARAH A. KROLMAN</t>
  </si>
  <si>
    <t>U.S. COAST GUARD</t>
  </si>
  <si>
    <t>Gary Eberling</t>
  </si>
  <si>
    <t>BETTY  SHARKEY COVERT</t>
  </si>
  <si>
    <t>Thomas F. Sharkey</t>
  </si>
  <si>
    <t>THOMAS F SHARKEY</t>
  </si>
  <si>
    <t>SPEC5 DENNIS R FELTZ</t>
  </si>
  <si>
    <t>(1962-68) AND FAMILY</t>
  </si>
  <si>
    <t>FOR MY FATHER (WW II)</t>
  </si>
  <si>
    <t>AND ALL WHO SERVED</t>
  </si>
  <si>
    <t>Dennis R. Feltz</t>
  </si>
  <si>
    <t>PAUL D WITMER II</t>
  </si>
  <si>
    <t>QMCS US NAVY</t>
  </si>
  <si>
    <t>1960 -1982</t>
  </si>
  <si>
    <t>COLOSSIANS 3:17</t>
  </si>
  <si>
    <t>Paul D Witmer</t>
  </si>
  <si>
    <t>PAUL D WITMER III</t>
  </si>
  <si>
    <t>DESERT STORM</t>
  </si>
  <si>
    <t>DENNIS W BODMAN</t>
  </si>
  <si>
    <t>HUSBAND - FATHER - FRIEND</t>
  </si>
  <si>
    <t>Donna K Bodman</t>
  </si>
  <si>
    <t>RAYMOND JOHNSON  USAF</t>
  </si>
  <si>
    <t>ALBERT JOHNSON  USN</t>
  </si>
  <si>
    <t>MELVIN PALO</t>
  </si>
  <si>
    <t>SGT 101ST AIRBORNE</t>
  </si>
  <si>
    <t>BRONZE STAR MEDAL</t>
  </si>
  <si>
    <t>R.C. Corning</t>
  </si>
  <si>
    <t>SGT GOERGE A O'BRIEN</t>
  </si>
  <si>
    <t>US ARMY 10-17-1918</t>
  </si>
  <si>
    <t>27th INF 102nd ENGR</t>
  </si>
  <si>
    <t>ST SOUPLET FRANCE</t>
  </si>
  <si>
    <t>George O'Brien</t>
  </si>
  <si>
    <t>GEORGE A O'BRIEN II</t>
  </si>
  <si>
    <t>CAPT USMC AVIATOR</t>
  </si>
  <si>
    <t>ESPECIALLY FOR GOLF</t>
  </si>
  <si>
    <t>JOHN W. MORGAN</t>
  </si>
  <si>
    <t>WW II  KOREA  DOM REP</t>
  </si>
  <si>
    <t>John Morgan Jr</t>
  </si>
  <si>
    <t>A GARY FUTAMASE</t>
  </si>
  <si>
    <t>LTC US ARMY</t>
  </si>
  <si>
    <t>BSM  JSCM  ARCOM</t>
  </si>
  <si>
    <t>Yoko Futamase</t>
  </si>
  <si>
    <t>LARRY McMAHON</t>
  </si>
  <si>
    <t>8-21-61 TO 8-20-65</t>
  </si>
  <si>
    <t>Larry McMahon</t>
  </si>
  <si>
    <t>FRANK V ROVIELLO</t>
  </si>
  <si>
    <t>CAPT  US AIRFORCE</t>
  </si>
  <si>
    <t>Rosalie Roviello</t>
  </si>
  <si>
    <t>LEON M McCORKLE SR</t>
  </si>
  <si>
    <t>LT  US ARMY</t>
  </si>
  <si>
    <t>FIFTH AIR FORCE</t>
  </si>
  <si>
    <t>Lee McCorkle</t>
  </si>
  <si>
    <t>EDWARD F CLARK</t>
  </si>
  <si>
    <t>Irene S. Clark</t>
  </si>
  <si>
    <t>KEN &amp; DEB MARKLEY</t>
  </si>
  <si>
    <t>Ken Markley</t>
  </si>
  <si>
    <t>1ST LT. RAY J RHOADES</t>
  </si>
  <si>
    <t>DEBBY &amp; RON SMITH</t>
  </si>
  <si>
    <t>Ron &amp; Debby Smith</t>
  </si>
  <si>
    <t>ARTHUR F RYAN</t>
  </si>
  <si>
    <t>FLIGHT OFFICER</t>
  </si>
  <si>
    <t>USAAF</t>
  </si>
  <si>
    <t>Mike and Susan Fegan</t>
  </si>
  <si>
    <t>COASTLINE INSURANCE</t>
  </si>
  <si>
    <t>B.J. PEELE</t>
  </si>
  <si>
    <t>Jonathan Peele</t>
  </si>
  <si>
    <t>DONALD DeHAVEN  USAAC</t>
  </si>
  <si>
    <t>GEORGE CONNOLLY  USN</t>
  </si>
  <si>
    <t>HARRY DeHAVEN  US ARMY</t>
  </si>
  <si>
    <t>Joanne &amp; Harry DeHaven</t>
  </si>
  <si>
    <t>ROBERT McKINLEY III</t>
  </si>
  <si>
    <t>SEAMAN</t>
  </si>
  <si>
    <t>1963 - 1966</t>
  </si>
  <si>
    <t>Rob McKinley</t>
  </si>
  <si>
    <t>BOBBY F SHAFFER</t>
  </si>
  <si>
    <t>Sherry Sands</t>
  </si>
  <si>
    <t>KIRK A DAVID</t>
  </si>
  <si>
    <t>COL (RET) US ARMY</t>
  </si>
  <si>
    <t>CIB  AIRBORNE RANGER</t>
  </si>
  <si>
    <t>SPOUSE - DONNA</t>
  </si>
  <si>
    <t>Kirk A David</t>
  </si>
  <si>
    <t>ROBERT NORTH SLEGHT</t>
  </si>
  <si>
    <t>MY HUSBAND</t>
  </si>
  <si>
    <t>Marge Sleght</t>
  </si>
  <si>
    <t>TO OUR MILITARY</t>
  </si>
  <si>
    <t>PAST AND PRESENT</t>
  </si>
  <si>
    <t>DAVID AND JEWELL TOLAN</t>
  </si>
  <si>
    <t>David &amp; Jewel Tolan</t>
  </si>
  <si>
    <t>JOHN J BARONOWSKI</t>
  </si>
  <si>
    <t>S/SGT US ARMY</t>
  </si>
  <si>
    <t>689th AIRBORNE  WW II</t>
  </si>
  <si>
    <t>MAY 1920 - MARCH 2013</t>
  </si>
  <si>
    <t>John Baronowski</t>
  </si>
  <si>
    <t>GM2 JOHN B PETERS</t>
  </si>
  <si>
    <t>USN     1920 - 1928</t>
  </si>
  <si>
    <t>MARY, BARBARA. NORMA</t>
  </si>
  <si>
    <t>SARAH, JANET, JOANN</t>
  </si>
  <si>
    <t>LT WILLIAM T SULLIVAN</t>
  </si>
  <si>
    <t>VIETNAM   JULY 4 1970</t>
  </si>
  <si>
    <t>Melinda Cala</t>
  </si>
  <si>
    <t>DAVID GERALD DOYLE JR</t>
  </si>
  <si>
    <t>MGYSGT, USMC - RETIRED</t>
  </si>
  <si>
    <t>HE GAVE ALL, ASKED</t>
  </si>
  <si>
    <t>NOTHING IN RETURN</t>
  </si>
  <si>
    <t>David K Pearce</t>
  </si>
  <si>
    <t>TO OUR FATHER</t>
  </si>
  <si>
    <t>C. EARL WILLIAMS JR</t>
  </si>
  <si>
    <t>THANK YOU TO ALL</t>
  </si>
  <si>
    <t>Charlie Williams</t>
  </si>
  <si>
    <t>GEORGE W KEITZMAN</t>
  </si>
  <si>
    <t>USMC  WW II  KOREA</t>
  </si>
  <si>
    <t>MY FATHER</t>
  </si>
  <si>
    <t>Karen Marzilli</t>
  </si>
  <si>
    <t>THOMAS P MAZILLI</t>
  </si>
  <si>
    <t>NCIS SPECIAL AGENT</t>
  </si>
  <si>
    <t>LOVINGLY WE REMEMBER</t>
  </si>
  <si>
    <t>CREAN</t>
  </si>
  <si>
    <t>WW II  TOM  USA</t>
  </si>
  <si>
    <t>WW II JOHN, DON USN</t>
  </si>
  <si>
    <t>VIETNAM TOM, DON USA</t>
  </si>
  <si>
    <t>Tom Crean</t>
  </si>
  <si>
    <t>SSG ALEX VIOLA 7THSFG</t>
  </si>
  <si>
    <t>4/17/84-11/17/13 AFG.</t>
  </si>
  <si>
    <t xml:space="preserve">ALL GAVE SOME	</t>
  </si>
  <si>
    <t>SOME GAVE ALL"</t>
  </si>
  <si>
    <t>STEPHEN BISSON</t>
  </si>
  <si>
    <t>VIETNAM VETERAN</t>
  </si>
  <si>
    <t>Linda Bisson</t>
  </si>
  <si>
    <t>WILLIAM HASELHOFF</t>
  </si>
  <si>
    <t>US ARMY WW II</t>
  </si>
  <si>
    <t>Bill Haselhoff</t>
  </si>
  <si>
    <t>KARL D HOVATTER</t>
  </si>
  <si>
    <t>SGT US ARMY WW II</t>
  </si>
  <si>
    <t>Jane Haselhoff</t>
  </si>
  <si>
    <t>PFC WILLIAM COLLETTI</t>
  </si>
  <si>
    <t>32ND INFANTRY REG</t>
  </si>
  <si>
    <t>A CO 1ST BN</t>
  </si>
  <si>
    <t>Joanne Tortorice</t>
  </si>
  <si>
    <t>HONORING OUR SONS</t>
  </si>
  <si>
    <t>CDR GLENN KELSO</t>
  </si>
  <si>
    <t>CDR MARK KELSO</t>
  </si>
  <si>
    <t>John and Lydia Kelso</t>
  </si>
  <si>
    <t>IRWIN LAWRENCE GELMAN</t>
  </si>
  <si>
    <t>SP 5 US ARMY</t>
  </si>
  <si>
    <t>VIETNAM  1969 - 1970</t>
  </si>
  <si>
    <t>Irwin L. Gelman</t>
  </si>
  <si>
    <t>HARRIS H. IVERS</t>
  </si>
  <si>
    <t>US NAVY WW II</t>
  </si>
  <si>
    <t>USS-HARRY F. BAUER</t>
  </si>
  <si>
    <t>TWO BRONZE STARS</t>
  </si>
  <si>
    <t>Bruce and Kathy Ivers</t>
  </si>
  <si>
    <t>H. ROBERT ENRIGHT</t>
  </si>
  <si>
    <t>386TH ARMY</t>
  </si>
  <si>
    <t>SERVICE FORCES BAND</t>
  </si>
  <si>
    <t>JAMES R McGAUGHEY</t>
  </si>
  <si>
    <t>CROSS OF GALLANTRY</t>
  </si>
  <si>
    <t>Fran McGaughey</t>
  </si>
  <si>
    <t>DANIEL C McGAUGHEY</t>
  </si>
  <si>
    <t>PETTY OFFICER US NAVY</t>
  </si>
  <si>
    <t>MUC</t>
  </si>
  <si>
    <t>JAMES CRUM S/SGT ARMY</t>
  </si>
  <si>
    <t>VIETNAM - THANK YOU</t>
  </si>
  <si>
    <t>CORBIN ISAAC MCKAY</t>
  </si>
  <si>
    <t>ANDREW JONATHAN JOSH</t>
  </si>
  <si>
    <t>James Crum</t>
  </si>
  <si>
    <t>LT COL BILLY T AMEND</t>
  </si>
  <si>
    <t>WW II KOREA VIETNAM</t>
  </si>
  <si>
    <t>COMMAND PILOT</t>
  </si>
  <si>
    <t>Judith Yett</t>
  </si>
  <si>
    <t>EDWARD W WETTERMAN</t>
  </si>
  <si>
    <t>USN SUBMARINE SERVICE</t>
  </si>
  <si>
    <t>USS ETHAN ALLEN SSBN</t>
  </si>
  <si>
    <t>608 GOLD 1966 - 1970</t>
  </si>
  <si>
    <t>Edward Wetterman</t>
  </si>
  <si>
    <t>JOHN A JOBE, JR</t>
  </si>
  <si>
    <t>SON HUSBAND FATHER</t>
  </si>
  <si>
    <t>Christy Jobe Carter</t>
  </si>
  <si>
    <t>EDMUND R CARTER</t>
  </si>
  <si>
    <t>VIETNAM-DESERT STORM</t>
  </si>
  <si>
    <t>WALTER F LYNCH JR</t>
  </si>
  <si>
    <t>1971 - 1998</t>
  </si>
  <si>
    <t>Walter Lynch</t>
  </si>
  <si>
    <t>BILL AND KIM HUCK</t>
  </si>
  <si>
    <t>GEORGE J GACOVSKY</t>
  </si>
  <si>
    <t>US AIR FORCE WW II</t>
  </si>
  <si>
    <t>William Huck</t>
  </si>
  <si>
    <t>KENNETH S. LUNDGREN</t>
  </si>
  <si>
    <t>LCPL US MARINE</t>
  </si>
  <si>
    <t>MARCH 1979-JULY 2011</t>
  </si>
  <si>
    <t>Wendy Lundgren</t>
  </si>
  <si>
    <t>ALAN J HESS</t>
  </si>
  <si>
    <t>PERSIAN GULF WAR</t>
  </si>
  <si>
    <t>Alan J. Hess</t>
  </si>
  <si>
    <t>LEO A MERCADO</t>
  </si>
  <si>
    <t>COL US MARINE CORPS</t>
  </si>
  <si>
    <t>REGINA K MERCADO</t>
  </si>
  <si>
    <t>Leo Mercado</t>
  </si>
  <si>
    <t>JOEL ALAN PORTER</t>
  </si>
  <si>
    <t>CAPTAIN  US NAVY</t>
  </si>
  <si>
    <t>1968 - 1995</t>
  </si>
  <si>
    <t>Joel A. Porter</t>
  </si>
  <si>
    <t>TOM D. GLOSSER</t>
  </si>
  <si>
    <t>RADARMAN USNR</t>
  </si>
  <si>
    <t>USS PERRY DD-844</t>
  </si>
  <si>
    <t>1967 - 1973</t>
  </si>
  <si>
    <t>Tom Glosser</t>
  </si>
  <si>
    <t>BRUCE JOHNSON</t>
  </si>
  <si>
    <t>BIG RED ONE</t>
  </si>
  <si>
    <t>VIETNAM  1969</t>
  </si>
  <si>
    <t>Bruce Johnson</t>
  </si>
  <si>
    <t>HARRY THRANHARDT</t>
  </si>
  <si>
    <t>Harry Thranhardt</t>
  </si>
  <si>
    <t>DE BARROS &amp; HARRIS</t>
  </si>
  <si>
    <t>Pat de Barros</t>
  </si>
  <si>
    <t>TSGT ROBERT DAVIS JR</t>
  </si>
  <si>
    <t>VIETNAM PURPLE HEART</t>
  </si>
  <si>
    <t>STG2 DOUGLAS PRATT</t>
  </si>
  <si>
    <t>USSPROSTON DD 577</t>
  </si>
  <si>
    <t>LT. MARY T. DAVIS</t>
  </si>
  <si>
    <t>SGT ROBERT J. DAVIS SR.</t>
  </si>
  <si>
    <t>WWII 1941-1945</t>
  </si>
  <si>
    <t>THANK YOU MOM AND DAD</t>
  </si>
  <si>
    <t>WILLIAM KLEE HAYES</t>
  </si>
  <si>
    <t>PFC US ARMY 1951-1953</t>
  </si>
  <si>
    <t>ANTHONY J. SAPPIO</t>
  </si>
  <si>
    <t>BM2 US NAVY</t>
  </si>
  <si>
    <t>2/28/1922 - 8/7/1993</t>
  </si>
  <si>
    <t>PVT DOMINICK SAPIO</t>
  </si>
  <si>
    <t>4TH MAP DIV IWO JIMA</t>
  </si>
  <si>
    <t>CPL FRANK J. SAPPIO</t>
  </si>
  <si>
    <t>ARMY AIR FORCE WWII</t>
  </si>
  <si>
    <t>CPL DAVID L. UNGERER</t>
  </si>
  <si>
    <t>USMC 1953-58 1423159</t>
  </si>
  <si>
    <t>DEDICATED WIFE PATTI</t>
  </si>
  <si>
    <t>MOM MILDRED DAD HARRY</t>
  </si>
  <si>
    <t>LOUIS J. TOURNESE</t>
  </si>
  <si>
    <t>WWII 1940-1945</t>
  </si>
  <si>
    <t>GERMANY &amp; FRANCE</t>
  </si>
  <si>
    <t>POW</t>
  </si>
  <si>
    <t>STEVEN H. RATTI</t>
  </si>
  <si>
    <t xml:space="preserve">RADM US COAST GUARD </t>
  </si>
  <si>
    <t>LILLIAN &amp; SYDNEY</t>
  </si>
  <si>
    <t>SHIELDS - RAF WWII</t>
  </si>
  <si>
    <t>WITH LOVE ANN &amp;  AL</t>
  </si>
  <si>
    <t>CHRISTOPHER J. KENNEY</t>
  </si>
  <si>
    <t>ARMY 1966-68</t>
  </si>
  <si>
    <t>THANKS YOU</t>
  </si>
  <si>
    <t>FOR YOUR SERVICE XO</t>
  </si>
  <si>
    <t>JAMES J. MURPHY</t>
  </si>
  <si>
    <t>WWII USN RETIRED</t>
  </si>
  <si>
    <t>PHIL VIETMEYER</t>
  </si>
  <si>
    <t>FRANCIE VIETMEYER</t>
  </si>
  <si>
    <t>NAVY PILOT - EDUCATOR</t>
  </si>
  <si>
    <t>SJTA TENNIS FAMILY</t>
  </si>
  <si>
    <t>JOSEPH P. SCHRIEBER</t>
  </si>
  <si>
    <t>WWII VETERAN</t>
  </si>
  <si>
    <t>YMS 302</t>
  </si>
  <si>
    <t>1925 - 2015</t>
  </si>
  <si>
    <t>MELVIN L. COMRAD</t>
  </si>
  <si>
    <t>USS WELLES</t>
  </si>
  <si>
    <t>1927 - 2015</t>
  </si>
  <si>
    <t>GREGORY P. KNAPP</t>
  </si>
  <si>
    <t>JOHN W. GAVIN</t>
  </si>
  <si>
    <t>CMM US NAVY</t>
  </si>
  <si>
    <t>DANIEL F.  BENNETT</t>
  </si>
  <si>
    <t>CURT M. CHISMARK</t>
  </si>
  <si>
    <t>CPT US ARMY VIETNAM</t>
  </si>
  <si>
    <t>DEDICATED TO LIZ, MY</t>
  </si>
  <si>
    <t>WIFE, LOVER, AND BUDDY</t>
  </si>
  <si>
    <t>DEB KNUDSEN</t>
  </si>
  <si>
    <t>GLORIA MOYNER</t>
  </si>
  <si>
    <t>USMC SEMPER FI</t>
  </si>
  <si>
    <t>APRIL 25 2015</t>
  </si>
  <si>
    <t>HAROLD P YOUNG PFC</t>
  </si>
  <si>
    <t>US ARMY 1942-1946</t>
  </si>
  <si>
    <t>NAPLES FOGGIA</t>
  </si>
  <si>
    <t>CAMPAIGN</t>
  </si>
  <si>
    <t>ROBERT PETCO</t>
  </si>
  <si>
    <t>CAPTAIN _ USCG</t>
  </si>
  <si>
    <t>CLASS OF 1973</t>
  </si>
  <si>
    <t>REBECCA A. HAWKINS</t>
  </si>
  <si>
    <t>MAJ US ARMY</t>
  </si>
  <si>
    <t>AFGHANISTAN 2011</t>
  </si>
  <si>
    <t>EDMUND H. REEVES JR.</t>
  </si>
  <si>
    <t>2LT US ARMY WWII</t>
  </si>
  <si>
    <t>HAROLD K. GEENE</t>
  </si>
  <si>
    <t>CAPTAIN US ARMY</t>
  </si>
  <si>
    <t>DENTAL CORP</t>
  </si>
  <si>
    <t>YVONNE &amp; EMILY SELKE</t>
  </si>
  <si>
    <t>BERMANWINGS FLT 9525</t>
  </si>
  <si>
    <t>MARCH 24 2015</t>
  </si>
  <si>
    <t>S3</t>
  </si>
  <si>
    <t>BROTHERS WORLD WAR II</t>
  </si>
  <si>
    <t>JEROME H KEILMAN USAF</t>
  </si>
  <si>
    <t>THOMAS L KEILMAN USA</t>
  </si>
  <si>
    <t>JOHN J KEILMAN USN</t>
  </si>
  <si>
    <t>S4</t>
  </si>
  <si>
    <t>ELIZABETH &amp; ALEXANDER</t>
  </si>
  <si>
    <t>PLUCHOS - USNR WWII</t>
  </si>
  <si>
    <t>S5</t>
  </si>
  <si>
    <t>DAVID C. SOWERS</t>
  </si>
  <si>
    <t>CORPS OF ENGINEERS</t>
  </si>
  <si>
    <t>S6</t>
  </si>
  <si>
    <t>DONALD P. McGUIRE</t>
  </si>
  <si>
    <t>S7</t>
  </si>
  <si>
    <t>2LT KEVIN J. GILLOOLY</t>
  </si>
  <si>
    <t xml:space="preserve">US ARMY ALWAYS IN </t>
  </si>
  <si>
    <t>MY HEART  SUSAN</t>
  </si>
  <si>
    <t>LOUIS P. WISE</t>
  </si>
  <si>
    <t>LTC LONNIE BERGERON</t>
  </si>
  <si>
    <t>DIERDRE LOTT</t>
  </si>
  <si>
    <t>TO OUR FATHERS</t>
  </si>
  <si>
    <t>PAUL E. STILLMAN</t>
  </si>
  <si>
    <t>PFC US ARMY WWII</t>
  </si>
  <si>
    <t>PURPLE HEART 6-8-1944</t>
  </si>
  <si>
    <t>NORMANY FIRST WAVE</t>
  </si>
  <si>
    <t>GEORGE M. VAN TASSEL</t>
  </si>
  <si>
    <t>TECH S</t>
  </si>
  <si>
    <t>US 9TH ARMY WWII</t>
  </si>
  <si>
    <t>816TH ENGINEER BN</t>
  </si>
  <si>
    <t>DONALD P. O'BRIEN</t>
  </si>
  <si>
    <t>1962 - 1965</t>
  </si>
  <si>
    <t>CAPT JAMES M. CORBETT</t>
  </si>
  <si>
    <t>US AIR FORCE WWII</t>
  </si>
  <si>
    <t>1923 - 1983</t>
  </si>
  <si>
    <t>WARREN J. SURETTE</t>
  </si>
  <si>
    <t>LTC US ARMY SIGNAL</t>
  </si>
  <si>
    <t>GREGORY H. HALL</t>
  </si>
  <si>
    <t>RM3 US NAVY</t>
  </si>
  <si>
    <t>NAVCOMMSTA</t>
  </si>
  <si>
    <t>KEY WEST &amp; MOROCCO</t>
  </si>
  <si>
    <t xml:space="preserve">IM REMEMBRANCE </t>
  </si>
  <si>
    <t>JAMES ALLEN PRELL</t>
  </si>
  <si>
    <t>1938 - 2019</t>
  </si>
  <si>
    <t>STJFD CHARTER MEMBER</t>
  </si>
  <si>
    <t>HUGH E. MUIR</t>
  </si>
  <si>
    <t>CHRIS SMITH</t>
  </si>
  <si>
    <t>LTC US ARMYINF RGR ASSN</t>
  </si>
  <si>
    <t>BERLIN BDE 1988 1991</t>
  </si>
  <si>
    <t>BERLIN FALLS 1989</t>
  </si>
  <si>
    <t>JOSEPH A CACCIOLA</t>
  </si>
  <si>
    <t>ARMY AIR COPRS - CB1</t>
  </si>
  <si>
    <t>ARMY AIR COPRS - ETO</t>
  </si>
  <si>
    <t>JOSEPH A MAURIELLO</t>
  </si>
  <si>
    <t>JAMES FX O ROURKE JR</t>
  </si>
  <si>
    <t>6/12/1942 - 2/12/2015</t>
  </si>
  <si>
    <t>HARRY HAP HANSEN III</t>
  </si>
  <si>
    <t>USNA CLASS OF 1958</t>
  </si>
  <si>
    <t>THE OLSENS HONOR</t>
  </si>
  <si>
    <t>CONOR THOMPSON &amp;</t>
  </si>
  <si>
    <t>GREG ARROWSMITH</t>
  </si>
  <si>
    <t>US ARMY - IRAQ</t>
  </si>
  <si>
    <t>JAMES W HILTY</t>
  </si>
  <si>
    <t>CPL US MARINE CORPS</t>
  </si>
  <si>
    <t>1958 - 1962</t>
  </si>
  <si>
    <t>DONALD M GRIFFIN</t>
  </si>
  <si>
    <t>33 YEARS OF SERVICE</t>
  </si>
  <si>
    <t>VIETNAM - AFGHANISTAN</t>
  </si>
  <si>
    <t>PFC RICHARD E VASKO</t>
  </si>
  <si>
    <t>MIA MAY 3, 1945 BURMA</t>
  </si>
  <si>
    <t>FLYING THE HUMP</t>
  </si>
  <si>
    <t>RAYMOND S VASKO</t>
  </si>
  <si>
    <t>P03 USN WWII</t>
  </si>
  <si>
    <t>ROGER WM BOOTH USAF</t>
  </si>
  <si>
    <t>AZORES AND PENTAGON</t>
  </si>
  <si>
    <t>VANESSA JANE BOOTH</t>
  </si>
  <si>
    <t>GRANT FORREST BOOTH</t>
  </si>
  <si>
    <t>TECH SGT US AIR FORCE</t>
  </si>
  <si>
    <t>SANDRA HAYES BOOTH</t>
  </si>
  <si>
    <t>SARAH MARIE BOOTH</t>
  </si>
  <si>
    <t>ROGER WM BOOTH USN</t>
  </si>
  <si>
    <t>USS BENNINGTON</t>
  </si>
  <si>
    <t>MARIE LAYNE BOOTH</t>
  </si>
  <si>
    <t>JOHN SPENCE US NAVY</t>
  </si>
  <si>
    <t>LIEUTENANT COMMANDER</t>
  </si>
  <si>
    <t>JANET L SPENCE, WIFE</t>
  </si>
  <si>
    <t>ROY COULTER WWII HERO</t>
  </si>
  <si>
    <t>2 PURPLE HEARTS USA</t>
  </si>
  <si>
    <t>BEULAH COULTER WAYNE</t>
  </si>
  <si>
    <t>RUTH LANE CLINE</t>
  </si>
  <si>
    <t>JAMES BRITTAIN USAF</t>
  </si>
  <si>
    <t>STAFF SERGEANT</t>
  </si>
  <si>
    <t>JO ANN BRITTAIN, WIFE</t>
  </si>
  <si>
    <t>WALTER T. CINI</t>
  </si>
  <si>
    <t>MSGT US ARMY OSE</t>
  </si>
  <si>
    <t>1916 - 2006</t>
  </si>
  <si>
    <t>MICHAEL MORGAN</t>
  </si>
  <si>
    <t>1ST USA RVN 69-70</t>
  </si>
  <si>
    <t>BSMV &amp; PURPLE HEART</t>
  </si>
  <si>
    <t>FLEETWOOD GARDNER</t>
  </si>
  <si>
    <t>US NAVY - WWII</t>
  </si>
  <si>
    <t>WE STAND ON THE</t>
  </si>
  <si>
    <t>SHOULDER OF HEROES</t>
  </si>
  <si>
    <t>ABRAHAM G FERRIS</t>
  </si>
  <si>
    <t>USA - WWII</t>
  </si>
  <si>
    <t>EDWARD L STECKROTH</t>
  </si>
  <si>
    <t xml:space="preserve">PURPLE HEART </t>
  </si>
  <si>
    <t>COL GEORGE O D'AMICO</t>
  </si>
  <si>
    <t xml:space="preserve">US ARMY  </t>
  </si>
  <si>
    <t>JOHN I. WHITTICO</t>
  </si>
  <si>
    <t>GUNNER ON TANK</t>
  </si>
  <si>
    <t>1965-1968</t>
  </si>
  <si>
    <t>ROBIN R. BROWN 82ABN</t>
  </si>
  <si>
    <t>CPL R. STEPHANS</t>
  </si>
  <si>
    <t>USMC 1966-1969</t>
  </si>
  <si>
    <t>HENRY N. PEPPE</t>
  </si>
  <si>
    <t>RUSSELL F. EVANS DDS</t>
  </si>
  <si>
    <t>US ARMY AIR CORP</t>
  </si>
  <si>
    <t>WWII / ETO</t>
  </si>
  <si>
    <t>NICHOLAS J. SCALLION</t>
  </si>
  <si>
    <t>1LT - USMC</t>
  </si>
  <si>
    <t>GOD BLESS THE USA</t>
  </si>
  <si>
    <t>QUIGLEY MUUSS</t>
  </si>
  <si>
    <t xml:space="preserve">COL GEORGE O D'AMICO </t>
  </si>
  <si>
    <t>RICHARD ALLEN GODBOUT</t>
  </si>
  <si>
    <t>US ARMY SP5 1966-1968</t>
  </si>
  <si>
    <t>FAMILY AND COUNTRY</t>
  </si>
  <si>
    <t>FOREVER GRATEFUL</t>
  </si>
  <si>
    <t>Paglione Family</t>
  </si>
  <si>
    <t>BRENDA QUASHNE</t>
  </si>
  <si>
    <t xml:space="preserve">A FRIEND TO ALL WHO </t>
  </si>
  <si>
    <t>Rick Quashne</t>
  </si>
  <si>
    <t xml:space="preserve">WE THANK YOU </t>
  </si>
  <si>
    <t>Mary Jo Schnepf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</si>
</sst>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\ d\,\ yyyy"/>
    <numFmt numFmtId="165" formatCode="d\ mmmm\ yyyy"/>
    <numFmt numFmtId="166" formatCode="m\-d\-yyyy"/>
    <numFmt numFmtId="167" formatCode="mmmm\ d\ yyyy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3"/>
      <color rgb="FF000000"/>
      <name val="Calibri"/>
      <family val="2"/>
    </font>
    <font>
      <sz val="12"/>
      <color theme="1"/>
      <name val="Calibri"/>
      <family val="2"/>
    </font>
    <font>
      <sz val="13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/>
    <xf numFmtId="0" fontId="7" fillId="4" borderId="0" xfId="0" applyFont="1" applyFill="1" applyAlignment="1">
      <alignment horizontal="left"/>
    </xf>
    <xf numFmtId="0" fontId="8" fillId="4" borderId="0" xfId="0" applyFont="1" applyFill="1" applyAlignment="1">
      <alignment horizontal="left"/>
    </xf>
    <xf numFmtId="164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9" fillId="0" borderId="0" xfId="0" applyFont="1"/>
    <xf numFmtId="165" fontId="6" fillId="0" borderId="0" xfId="0" applyNumberFormat="1" applyFont="1" applyAlignment="1">
      <alignment horizontal="left"/>
    </xf>
    <xf numFmtId="0" fontId="6" fillId="5" borderId="0" xfId="0" applyFont="1" applyFill="1"/>
    <xf numFmtId="14" fontId="6" fillId="0" borderId="0" xfId="0" applyNumberFormat="1" applyFont="1" applyAlignment="1">
      <alignment horizontal="left"/>
    </xf>
    <xf numFmtId="17" fontId="6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166" fontId="6" fillId="0" borderId="0" xfId="0" applyNumberFormat="1" applyFont="1"/>
    <xf numFmtId="15" fontId="6" fillId="0" borderId="0" xfId="0" applyNumberFormat="1" applyFont="1"/>
    <xf numFmtId="167" fontId="6" fillId="0" borderId="0" xfId="0" applyNumberFormat="1" applyFont="1"/>
    <xf numFmtId="0" fontId="9" fillId="0" borderId="0" xfId="0" applyFont="1" applyAlignment="1">
      <alignment horizontal="left" vertical="center" shrinkToFit="1"/>
    </xf>
    <xf numFmtId="0" fontId="4" fillId="4" borderId="0" xfId="0" applyFont="1" applyFill="1" applyAlignment="1">
      <alignment horizontal="left"/>
    </xf>
    <xf numFmtId="0" fontId="10" fillId="0" borderId="0" xfId="0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family val="2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CF1C70-CF48-4992-98B7-72BA735DC8D1}" name="Table1" displayName="Table1" ref="A1:P989" totalsRowShown="0" headerRowDxfId="17" dataDxfId="16">
  <autoFilter ref="A1:P989" xr:uid="{FC8DDC12-7E5D-4CAE-927C-6BFDB74F23FE}"/>
  <tableColumns count="16">
    <tableColumn id="1" xr3:uid="{A7C99CA3-B1CC-40DC-8FE3-257B88B0026C}" name="LINE 1" dataDxfId="15"/>
    <tableColumn id="2" xr3:uid="{621D16E0-8BC7-440D-AC62-1C36B846A34A}" name="LINE2" dataDxfId="14"/>
    <tableColumn id="3" xr3:uid="{F7527190-62E1-4BDD-B126-7B0DC59B65C7}" name="LINE3" dataDxfId="13"/>
    <tableColumn id="4" xr3:uid="{4A918DE5-F5BA-4D99-8588-CBA6033F2778}" name="LINE4" dataDxfId="12"/>
    <tableColumn id="5" xr3:uid="{42B924BE-50D8-4939-A763-C1C91AB9EB6F}" name="Column1" dataDxfId="11"/>
    <tableColumn id="6" xr3:uid="{CF5AA0E8-D94C-43D4-A485-016DE301BEDF}" name="SPONSOR" dataDxfId="10"/>
    <tableColumn id="13" xr3:uid="{779D6929-C0CE-4759-BDDC-C50C57DE9D78}" name="INDEX" dataDxfId="9"/>
    <tableColumn id="12" xr3:uid="{29414BCB-37BC-4624-80CB-AB71C306AD3D}" name="ID SIDE" dataDxfId="8"/>
    <tableColumn id="11" xr3:uid="{15B8E4F6-BC71-42B3-8298-A1F0A82BB0C5}" name="ID ROW" dataDxfId="7">
      <calculatedColumnFormula>INT((G2-1)/11)*2 + IF(MOD(G2-1, 11) &lt; 6, 1, 2)</calculatedColumnFormula>
    </tableColumn>
    <tableColumn id="10" xr3:uid="{23C04D6B-B6A9-4251-B087-14C1026F201C}" name="ID POS" dataDxfId="6">
      <calculatedColumnFormula>IF(MOD(G2-1,11)&lt;6,(MOD(G2-1,11)+1-(5*FLOOR(MOD(G2-1,11),6))),(MOD(G2-1,11))-5)</calculatedColumnFormula>
    </tableColumn>
    <tableColumn id="7" xr3:uid="{F59DBEE9-50AC-4B28-8FCA-6A3F0938E08C}" name="DESIGNATOR" dataDxfId="5">
      <calculatedColumnFormula>H2&amp;"R"&amp;I2&amp;"B"&amp;J2</calculatedColumnFormula>
    </tableColumn>
    <tableColumn id="16" xr3:uid="{B1E60FB6-9135-40BF-8FBA-9DA249E06126}" name="ACT SD" dataDxfId="4"/>
    <tableColumn id="15" xr3:uid="{C49878E2-0229-4096-957D-2E4020788BA5}" name="ACT ROW" dataDxfId="3">
      <calculatedColumnFormula>IF(Table1[[#This Row],[ID ROW]]&lt;=12,Table1[[#This Row],[ID ROW]],Table1[[#This Row],[ID ROW]]+INT((Table1[[#This Row],[ID ROW]]-1)/12)*2)</calculatedColumnFormula>
    </tableColumn>
    <tableColumn id="14" xr3:uid="{9BE857DC-B6B6-46EC-8E32-6B7BFF9AD61C}" name="ACT LOCATION" dataDxfId="2">
      <calculatedColumnFormula>L2&amp;"R"&amp;M2&amp;"B"&amp;J2</calculatedColumnFormula>
    </tableColumn>
    <tableColumn id="17" xr3:uid="{1E53BE68-19DE-4A3A-844B-7E2716CF3998}" name="SECT" dataDxfId="1">
      <calculatedColumnFormula>IF(Table1[[#This Row],[ID ROW]]&lt;=12,1,INT((Table1[[#This Row],[ID ROW]]-1)/12)+1)</calculatedColumnFormula>
    </tableColumn>
    <tableColumn id="19" xr3:uid="{1E3937E5-CB3B-4948-839B-758EF0221C52}" name="SECT ROW" dataDxfId="0">
      <calculatedColumnFormula>Table1[[#This Row],[ID ROW]]-((Table1[[#This Row],[SECT]]-1)*12)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51D7-1591-4E84-A522-E6F1B5BE8B6A}">
  <sheetPr>
    <pageSetUpPr fitToPage="1"/>
  </sheetPr>
  <dimension ref="A1:P1200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14.42578125" defaultRowHeight="15" customHeight="1" x14ac:dyDescent="0.3"/>
  <cols>
    <col min="1" max="4" width="32" style="6" customWidth="1"/>
    <col min="5" max="5" width="1.7109375" style="6" hidden="1" customWidth="1"/>
    <col min="6" max="6" width="43.85546875" style="27" bestFit="1" customWidth="1"/>
    <col min="7" max="7" width="11" style="6" hidden="1" customWidth="1"/>
    <col min="8" max="8" width="9.42578125" style="6" hidden="1" customWidth="1"/>
    <col min="9" max="9" width="12.42578125" style="6" customWidth="1"/>
    <col min="10" max="10" width="11.42578125" style="6" bestFit="1" customWidth="1"/>
    <col min="11" max="11" width="13.28515625" style="10" bestFit="1" customWidth="1"/>
    <col min="12" max="12" width="13.28515625" style="10" customWidth="1"/>
    <col min="13" max="13" width="13.28515625" style="10" hidden="1" customWidth="1"/>
    <col min="14" max="14" width="17.7109375" style="10" hidden="1" customWidth="1"/>
    <col min="15" max="15" width="10.140625" style="10" bestFit="1" customWidth="1"/>
    <col min="16" max="16" width="13" style="10" customWidth="1"/>
    <col min="17" max="31" width="8.7109375" style="6" customWidth="1"/>
    <col min="32" max="16384" width="14.42578125" style="6"/>
  </cols>
  <sheetData>
    <row r="1" spans="1:16" s="5" customFormat="1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</row>
    <row r="2" spans="1:16" ht="15.75" customHeight="1" x14ac:dyDescent="0.25">
      <c r="A2" s="6" t="s">
        <v>16</v>
      </c>
      <c r="B2" s="6" t="s">
        <v>17</v>
      </c>
      <c r="C2" s="6" t="s">
        <v>18</v>
      </c>
      <c r="D2" s="6" t="s">
        <v>19</v>
      </c>
      <c r="F2" s="7" t="s">
        <v>20</v>
      </c>
      <c r="G2" s="8">
        <v>1</v>
      </c>
      <c r="H2" s="9" t="s">
        <v>21</v>
      </c>
      <c r="I2" s="9">
        <f>INT((G2-1)/11)*2 + IF(MOD(G2-1, 11) &lt; 6, 1, 2)</f>
        <v>1</v>
      </c>
      <c r="J2" s="9">
        <f t="shared" ref="J2:J65" si="0">IF(MOD(G2-1,11)&lt;6,(MOD(G2-1,11)+1-(5*FLOOR(MOD(G2-1,11),6))),(MOD(G2-1,11))-5)</f>
        <v>1</v>
      </c>
      <c r="K2" s="10" t="str">
        <f>H2&amp;"R"&amp;I2&amp;"B"&amp;J2</f>
        <v>S1R1B1</v>
      </c>
      <c r="L2" s="10" t="s">
        <v>22</v>
      </c>
      <c r="M2" s="10">
        <f>IF(Table1[[#This Row],[ID ROW]]&lt;=12,Table1[[#This Row],[ID ROW]],Table1[[#This Row],[ID ROW]]+INT((Table1[[#This Row],[ID ROW]]-1)/12)*2)</f>
        <v>1</v>
      </c>
      <c r="N2" s="10" t="str">
        <f>L2&amp;"R"&amp;M2&amp;"B"&amp;J2</f>
        <v>RSR1B1</v>
      </c>
      <c r="O2" s="10">
        <f>IF(Table1[[#This Row],[ID ROW]]&lt;=12,1,INT((Table1[[#This Row],[ID ROW]]-1)/12)+1)</f>
        <v>1</v>
      </c>
      <c r="P2" s="10">
        <f>Table1[[#This Row],[ID ROW]]-((Table1[[#This Row],[SECT]]-1)*12)</f>
        <v>1</v>
      </c>
    </row>
    <row r="3" spans="1:16" ht="15.75" customHeight="1" x14ac:dyDescent="0.3">
      <c r="A3" s="6" t="s">
        <v>23</v>
      </c>
      <c r="B3" s="6" t="s">
        <v>24</v>
      </c>
      <c r="C3" s="6" t="s">
        <v>25</v>
      </c>
      <c r="D3" s="6" t="s">
        <v>26</v>
      </c>
      <c r="F3" s="11" t="s">
        <v>27</v>
      </c>
      <c r="G3" s="8">
        <v>2</v>
      </c>
      <c r="H3" s="9" t="s">
        <v>21</v>
      </c>
      <c r="I3" s="9">
        <f t="shared" ref="I3:I66" si="1">INT((G3-1)/11)*2 + IF(MOD(G3-1, 11) &lt; 6, 1, 2)</f>
        <v>1</v>
      </c>
      <c r="J3" s="9">
        <f t="shared" si="0"/>
        <v>2</v>
      </c>
      <c r="K3" s="10" t="str">
        <f t="shared" ref="K3:K66" si="2">H3&amp;"R"&amp;I3&amp;"B"&amp;J3</f>
        <v>S1R1B2</v>
      </c>
      <c r="L3" s="10" t="s">
        <v>22</v>
      </c>
      <c r="M3" s="10">
        <f>IF(Table1[[#This Row],[ID ROW]]&lt;=12,Table1[[#This Row],[ID ROW]],Table1[[#This Row],[ID ROW]]+INT((Table1[[#This Row],[ID ROW]]-1)/12)*2)</f>
        <v>1</v>
      </c>
      <c r="N3" s="10" t="str">
        <f t="shared" ref="N3:N66" si="3">L3&amp;"R"&amp;M3&amp;"B"&amp;J3</f>
        <v>RSR1B2</v>
      </c>
      <c r="O3" s="10">
        <f>IF(Table1[[#This Row],[ID ROW]]&lt;=12,1,INT((Table1[[#This Row],[ID ROW]]-1)/12)+1)</f>
        <v>1</v>
      </c>
      <c r="P3" s="10">
        <f>Table1[[#This Row],[ID ROW]]-((Table1[[#This Row],[SECT]]-1)*12)</f>
        <v>1</v>
      </c>
    </row>
    <row r="4" spans="1:16" ht="15.75" customHeight="1" x14ac:dyDescent="0.25">
      <c r="A4" s="6" t="s">
        <v>28</v>
      </c>
      <c r="B4" s="6" t="s">
        <v>29</v>
      </c>
      <c r="C4" s="12" t="s">
        <v>30</v>
      </c>
      <c r="D4" s="6" t="s">
        <v>31</v>
      </c>
      <c r="F4" s="7" t="s">
        <v>27</v>
      </c>
      <c r="G4" s="8">
        <v>3</v>
      </c>
      <c r="H4" s="9" t="s">
        <v>21</v>
      </c>
      <c r="I4" s="9">
        <f t="shared" si="1"/>
        <v>1</v>
      </c>
      <c r="J4" s="9">
        <f t="shared" si="0"/>
        <v>3</v>
      </c>
      <c r="K4" s="10" t="str">
        <f t="shared" si="2"/>
        <v>S1R1B3</v>
      </c>
      <c r="L4" s="10" t="s">
        <v>22</v>
      </c>
      <c r="M4" s="10">
        <f>IF(Table1[[#This Row],[ID ROW]]&lt;=12,Table1[[#This Row],[ID ROW]],Table1[[#This Row],[ID ROW]]+INT((Table1[[#This Row],[ID ROW]]-1)/12)*2)</f>
        <v>1</v>
      </c>
      <c r="N4" s="10" t="str">
        <f t="shared" si="3"/>
        <v>RSR1B3</v>
      </c>
      <c r="O4" s="10">
        <f>IF(Table1[[#This Row],[ID ROW]]&lt;=12,1,INT((Table1[[#This Row],[ID ROW]]-1)/12)+1)</f>
        <v>1</v>
      </c>
      <c r="P4" s="10">
        <f>Table1[[#This Row],[ID ROW]]-((Table1[[#This Row],[SECT]]-1)*12)</f>
        <v>1</v>
      </c>
    </row>
    <row r="5" spans="1:16" ht="15.75" customHeight="1" x14ac:dyDescent="0.3">
      <c r="A5" s="6" t="s">
        <v>32</v>
      </c>
      <c r="B5" s="6" t="s">
        <v>33</v>
      </c>
      <c r="C5" s="6" t="s">
        <v>34</v>
      </c>
      <c r="D5" s="6" t="s">
        <v>35</v>
      </c>
      <c r="F5" s="11" t="s">
        <v>36</v>
      </c>
      <c r="G5" s="8">
        <v>4</v>
      </c>
      <c r="H5" s="9" t="s">
        <v>21</v>
      </c>
      <c r="I5" s="9">
        <f t="shared" si="1"/>
        <v>1</v>
      </c>
      <c r="J5" s="9">
        <f t="shared" si="0"/>
        <v>4</v>
      </c>
      <c r="K5" s="10" t="str">
        <f t="shared" si="2"/>
        <v>S1R1B4</v>
      </c>
      <c r="L5" s="10" t="s">
        <v>22</v>
      </c>
      <c r="M5" s="10">
        <f>IF(Table1[[#This Row],[ID ROW]]&lt;=12,Table1[[#This Row],[ID ROW]],Table1[[#This Row],[ID ROW]]+INT((Table1[[#This Row],[ID ROW]]-1)/12)*2)</f>
        <v>1</v>
      </c>
      <c r="N5" s="10" t="str">
        <f t="shared" si="3"/>
        <v>RSR1B4</v>
      </c>
      <c r="O5" s="10">
        <f>IF(Table1[[#This Row],[ID ROW]]&lt;=12,1,INT((Table1[[#This Row],[ID ROW]]-1)/12)+1)</f>
        <v>1</v>
      </c>
      <c r="P5" s="10">
        <f>Table1[[#This Row],[ID ROW]]-((Table1[[#This Row],[SECT]]-1)*12)</f>
        <v>1</v>
      </c>
    </row>
    <row r="6" spans="1:16" ht="15.75" customHeight="1" x14ac:dyDescent="0.25">
      <c r="A6" s="6" t="s">
        <v>37</v>
      </c>
      <c r="B6" s="6" t="s">
        <v>38</v>
      </c>
      <c r="C6" s="6" t="s">
        <v>39</v>
      </c>
      <c r="D6" s="6" t="s">
        <v>40</v>
      </c>
      <c r="F6" s="7" t="s">
        <v>41</v>
      </c>
      <c r="G6" s="8">
        <v>5</v>
      </c>
      <c r="H6" s="9" t="s">
        <v>21</v>
      </c>
      <c r="I6" s="9">
        <f t="shared" si="1"/>
        <v>1</v>
      </c>
      <c r="J6" s="9">
        <f t="shared" si="0"/>
        <v>5</v>
      </c>
      <c r="K6" s="10" t="str">
        <f t="shared" si="2"/>
        <v>S1R1B5</v>
      </c>
      <c r="L6" s="10" t="s">
        <v>22</v>
      </c>
      <c r="M6" s="10">
        <f>IF(Table1[[#This Row],[ID ROW]]&lt;=12,Table1[[#This Row],[ID ROW]],Table1[[#This Row],[ID ROW]]+INT((Table1[[#This Row],[ID ROW]]-1)/12)*2)</f>
        <v>1</v>
      </c>
      <c r="N6" s="10" t="str">
        <f t="shared" si="3"/>
        <v>RSR1B5</v>
      </c>
      <c r="O6" s="10">
        <f>IF(Table1[[#This Row],[ID ROW]]&lt;=12,1,INT((Table1[[#This Row],[ID ROW]]-1)/12)+1)</f>
        <v>1</v>
      </c>
      <c r="P6" s="10">
        <f>Table1[[#This Row],[ID ROW]]-((Table1[[#This Row],[SECT]]-1)*12)</f>
        <v>1</v>
      </c>
    </row>
    <row r="7" spans="1:16" ht="15.75" customHeight="1" x14ac:dyDescent="0.3">
      <c r="A7" s="6" t="s">
        <v>42</v>
      </c>
      <c r="B7" s="6" t="s">
        <v>43</v>
      </c>
      <c r="C7" s="6" t="s">
        <v>44</v>
      </c>
      <c r="D7" s="6" t="s">
        <v>40</v>
      </c>
      <c r="F7" s="11" t="s">
        <v>45</v>
      </c>
      <c r="G7" s="8">
        <v>6</v>
      </c>
      <c r="H7" s="9" t="s">
        <v>21</v>
      </c>
      <c r="I7" s="9">
        <f t="shared" si="1"/>
        <v>1</v>
      </c>
      <c r="J7" s="9">
        <f t="shared" si="0"/>
        <v>6</v>
      </c>
      <c r="K7" s="10" t="str">
        <f t="shared" si="2"/>
        <v>S1R1B6</v>
      </c>
      <c r="L7" s="10" t="s">
        <v>22</v>
      </c>
      <c r="M7" s="10">
        <f>IF(Table1[[#This Row],[ID ROW]]&lt;=12,Table1[[#This Row],[ID ROW]],Table1[[#This Row],[ID ROW]]+INT((Table1[[#This Row],[ID ROW]]-1)/12)*2)</f>
        <v>1</v>
      </c>
      <c r="N7" s="10" t="str">
        <f t="shared" si="3"/>
        <v>RSR1B6</v>
      </c>
      <c r="O7" s="10">
        <f>IF(Table1[[#This Row],[ID ROW]]&lt;=12,1,INT((Table1[[#This Row],[ID ROW]]-1)/12)+1)</f>
        <v>1</v>
      </c>
      <c r="P7" s="10">
        <f>Table1[[#This Row],[ID ROW]]-((Table1[[#This Row],[SECT]]-1)*12)</f>
        <v>1</v>
      </c>
    </row>
    <row r="8" spans="1:16" ht="15.75" customHeight="1" x14ac:dyDescent="0.25">
      <c r="A8" s="6" t="s">
        <v>46</v>
      </c>
      <c r="B8" s="6" t="s">
        <v>47</v>
      </c>
      <c r="C8" s="6" t="s">
        <v>48</v>
      </c>
      <c r="F8" s="7" t="s">
        <v>49</v>
      </c>
      <c r="G8" s="8">
        <v>7</v>
      </c>
      <c r="H8" s="9" t="s">
        <v>21</v>
      </c>
      <c r="I8" s="9">
        <f t="shared" si="1"/>
        <v>2</v>
      </c>
      <c r="J8" s="9">
        <f t="shared" si="0"/>
        <v>1</v>
      </c>
      <c r="K8" s="10" t="str">
        <f t="shared" si="2"/>
        <v>S1R2B1</v>
      </c>
      <c r="L8" s="10" t="s">
        <v>22</v>
      </c>
      <c r="M8" s="10">
        <f>IF(Table1[[#This Row],[ID ROW]]&lt;=12,Table1[[#This Row],[ID ROW]],Table1[[#This Row],[ID ROW]]+INT((Table1[[#This Row],[ID ROW]]-1)/12)*2)</f>
        <v>2</v>
      </c>
      <c r="N8" s="10" t="str">
        <f t="shared" si="3"/>
        <v>RSR2B1</v>
      </c>
      <c r="O8" s="10">
        <f>IF(Table1[[#This Row],[ID ROW]]&lt;=12,1,INT((Table1[[#This Row],[ID ROW]]-1)/12)+1)</f>
        <v>1</v>
      </c>
      <c r="P8" s="10">
        <f>Table1[[#This Row],[ID ROW]]-((Table1[[#This Row],[SECT]]-1)*12)</f>
        <v>2</v>
      </c>
    </row>
    <row r="9" spans="1:16" ht="15.75" customHeight="1" x14ac:dyDescent="0.3">
      <c r="A9" s="6" t="s">
        <v>50</v>
      </c>
      <c r="B9" s="6" t="s">
        <v>51</v>
      </c>
      <c r="C9" s="6" t="s">
        <v>52</v>
      </c>
      <c r="D9" s="6" t="s">
        <v>53</v>
      </c>
      <c r="F9" s="11" t="s">
        <v>54</v>
      </c>
      <c r="G9" s="8">
        <v>8</v>
      </c>
      <c r="H9" s="9" t="s">
        <v>21</v>
      </c>
      <c r="I9" s="9">
        <f t="shared" si="1"/>
        <v>2</v>
      </c>
      <c r="J9" s="9">
        <f t="shared" si="0"/>
        <v>2</v>
      </c>
      <c r="K9" s="10" t="str">
        <f t="shared" si="2"/>
        <v>S1R2B2</v>
      </c>
      <c r="L9" s="10" t="s">
        <v>22</v>
      </c>
      <c r="M9" s="10">
        <f>IF(Table1[[#This Row],[ID ROW]]&lt;=12,Table1[[#This Row],[ID ROW]],Table1[[#This Row],[ID ROW]]+INT((Table1[[#This Row],[ID ROW]]-1)/12)*2)</f>
        <v>2</v>
      </c>
      <c r="N9" s="10" t="str">
        <f t="shared" si="3"/>
        <v>RSR2B2</v>
      </c>
      <c r="O9" s="10">
        <f>IF(Table1[[#This Row],[ID ROW]]&lt;=12,1,INT((Table1[[#This Row],[ID ROW]]-1)/12)+1)</f>
        <v>1</v>
      </c>
      <c r="P9" s="10">
        <f>Table1[[#This Row],[ID ROW]]-((Table1[[#This Row],[SECT]]-1)*12)</f>
        <v>2</v>
      </c>
    </row>
    <row r="10" spans="1:16" ht="15.75" customHeight="1" x14ac:dyDescent="0.25">
      <c r="A10" s="6" t="s">
        <v>55</v>
      </c>
      <c r="B10" s="6" t="s">
        <v>56</v>
      </c>
      <c r="C10" s="6" t="s">
        <v>57</v>
      </c>
      <c r="F10" s="7" t="s">
        <v>58</v>
      </c>
      <c r="G10" s="8">
        <v>9</v>
      </c>
      <c r="H10" s="9" t="s">
        <v>21</v>
      </c>
      <c r="I10" s="9">
        <f t="shared" si="1"/>
        <v>2</v>
      </c>
      <c r="J10" s="9">
        <f t="shared" si="0"/>
        <v>3</v>
      </c>
      <c r="K10" s="10" t="str">
        <f t="shared" si="2"/>
        <v>S1R2B3</v>
      </c>
      <c r="L10" s="10" t="s">
        <v>22</v>
      </c>
      <c r="M10" s="10">
        <f>IF(Table1[[#This Row],[ID ROW]]&lt;=12,Table1[[#This Row],[ID ROW]],Table1[[#This Row],[ID ROW]]+INT((Table1[[#This Row],[ID ROW]]-1)/12)*2)</f>
        <v>2</v>
      </c>
      <c r="N10" s="10" t="str">
        <f t="shared" si="3"/>
        <v>RSR2B3</v>
      </c>
      <c r="O10" s="10">
        <f>IF(Table1[[#This Row],[ID ROW]]&lt;=12,1,INT((Table1[[#This Row],[ID ROW]]-1)/12)+1)</f>
        <v>1</v>
      </c>
      <c r="P10" s="10">
        <f>Table1[[#This Row],[ID ROW]]-((Table1[[#This Row],[SECT]]-1)*12)</f>
        <v>2</v>
      </c>
    </row>
    <row r="11" spans="1:16" ht="15.75" customHeight="1" x14ac:dyDescent="0.3">
      <c r="A11" s="6" t="s">
        <v>59</v>
      </c>
      <c r="B11" s="6" t="s">
        <v>60</v>
      </c>
      <c r="C11" s="6" t="s">
        <v>61</v>
      </c>
      <c r="D11" s="6" t="s">
        <v>62</v>
      </c>
      <c r="F11" s="11" t="s">
        <v>63</v>
      </c>
      <c r="G11" s="8">
        <v>10</v>
      </c>
      <c r="H11" s="9" t="s">
        <v>21</v>
      </c>
      <c r="I11" s="9">
        <f t="shared" si="1"/>
        <v>2</v>
      </c>
      <c r="J11" s="9">
        <f t="shared" si="0"/>
        <v>4</v>
      </c>
      <c r="K11" s="10" t="str">
        <f t="shared" si="2"/>
        <v>S1R2B4</v>
      </c>
      <c r="L11" s="10" t="s">
        <v>22</v>
      </c>
      <c r="M11" s="10">
        <f>IF(Table1[[#This Row],[ID ROW]]&lt;=12,Table1[[#This Row],[ID ROW]],Table1[[#This Row],[ID ROW]]+INT((Table1[[#This Row],[ID ROW]]-1)/12)*2)</f>
        <v>2</v>
      </c>
      <c r="N11" s="10" t="str">
        <f t="shared" si="3"/>
        <v>RSR2B4</v>
      </c>
      <c r="O11" s="10">
        <f>IF(Table1[[#This Row],[ID ROW]]&lt;=12,1,INT((Table1[[#This Row],[ID ROW]]-1)/12)+1)</f>
        <v>1</v>
      </c>
      <c r="P11" s="10">
        <f>Table1[[#This Row],[ID ROW]]-((Table1[[#This Row],[SECT]]-1)*12)</f>
        <v>2</v>
      </c>
    </row>
    <row r="12" spans="1:16" ht="15.75" customHeight="1" x14ac:dyDescent="0.25">
      <c r="A12" s="6" t="s">
        <v>64</v>
      </c>
      <c r="B12" s="6" t="s">
        <v>65</v>
      </c>
      <c r="C12" s="6" t="s">
        <v>66</v>
      </c>
      <c r="D12" s="6" t="s">
        <v>67</v>
      </c>
      <c r="F12" s="7" t="s">
        <v>68</v>
      </c>
      <c r="G12" s="8">
        <v>11</v>
      </c>
      <c r="H12" s="9" t="s">
        <v>21</v>
      </c>
      <c r="I12" s="9">
        <f t="shared" si="1"/>
        <v>2</v>
      </c>
      <c r="J12" s="9">
        <f t="shared" si="0"/>
        <v>5</v>
      </c>
      <c r="K12" s="10" t="str">
        <f t="shared" si="2"/>
        <v>S1R2B5</v>
      </c>
      <c r="L12" s="10" t="s">
        <v>22</v>
      </c>
      <c r="M12" s="10">
        <f>IF(Table1[[#This Row],[ID ROW]]&lt;=12,Table1[[#This Row],[ID ROW]],Table1[[#This Row],[ID ROW]]+INT((Table1[[#This Row],[ID ROW]]-1)/12)*2)</f>
        <v>2</v>
      </c>
      <c r="N12" s="10" t="str">
        <f t="shared" si="3"/>
        <v>RSR2B5</v>
      </c>
      <c r="O12" s="10">
        <f>IF(Table1[[#This Row],[ID ROW]]&lt;=12,1,INT((Table1[[#This Row],[ID ROW]]-1)/12)+1)</f>
        <v>1</v>
      </c>
      <c r="P12" s="10">
        <f>Table1[[#This Row],[ID ROW]]-((Table1[[#This Row],[SECT]]-1)*12)</f>
        <v>2</v>
      </c>
    </row>
    <row r="13" spans="1:16" ht="15.75" customHeight="1" x14ac:dyDescent="0.3">
      <c r="A13" s="6" t="s">
        <v>69</v>
      </c>
      <c r="B13" s="6" t="s">
        <v>70</v>
      </c>
      <c r="C13" s="6" t="s">
        <v>71</v>
      </c>
      <c r="F13" s="11" t="s">
        <v>72</v>
      </c>
      <c r="G13" s="8">
        <v>12</v>
      </c>
      <c r="H13" s="9" t="s">
        <v>21</v>
      </c>
      <c r="I13" s="9">
        <f t="shared" si="1"/>
        <v>3</v>
      </c>
      <c r="J13" s="9">
        <f t="shared" si="0"/>
        <v>1</v>
      </c>
      <c r="K13" s="10" t="str">
        <f t="shared" si="2"/>
        <v>S1R3B1</v>
      </c>
      <c r="L13" s="10" t="s">
        <v>22</v>
      </c>
      <c r="M13" s="10">
        <f>IF(Table1[[#This Row],[ID ROW]]&lt;=12,Table1[[#This Row],[ID ROW]],Table1[[#This Row],[ID ROW]]+INT((Table1[[#This Row],[ID ROW]]-1)/12)*2)</f>
        <v>3</v>
      </c>
      <c r="N13" s="10" t="str">
        <f t="shared" si="3"/>
        <v>RSR3B1</v>
      </c>
      <c r="O13" s="10">
        <f>IF(Table1[[#This Row],[ID ROW]]&lt;=12,1,INT((Table1[[#This Row],[ID ROW]]-1)/12)+1)</f>
        <v>1</v>
      </c>
      <c r="P13" s="10">
        <f>Table1[[#This Row],[ID ROW]]-((Table1[[#This Row],[SECT]]-1)*12)</f>
        <v>3</v>
      </c>
    </row>
    <row r="14" spans="1:16" ht="15.75" customHeight="1" x14ac:dyDescent="0.25">
      <c r="A14" s="6" t="s">
        <v>73</v>
      </c>
      <c r="B14" s="6" t="s">
        <v>74</v>
      </c>
      <c r="C14" s="6" t="s">
        <v>75</v>
      </c>
      <c r="F14" s="7" t="s">
        <v>72</v>
      </c>
      <c r="G14" s="8">
        <v>13</v>
      </c>
      <c r="H14" s="9" t="s">
        <v>21</v>
      </c>
      <c r="I14" s="9">
        <f t="shared" si="1"/>
        <v>3</v>
      </c>
      <c r="J14" s="9">
        <f t="shared" si="0"/>
        <v>2</v>
      </c>
      <c r="K14" s="10" t="str">
        <f t="shared" si="2"/>
        <v>S1R3B2</v>
      </c>
      <c r="L14" s="10" t="s">
        <v>22</v>
      </c>
      <c r="M14" s="10">
        <f>IF(Table1[[#This Row],[ID ROW]]&lt;=12,Table1[[#This Row],[ID ROW]],Table1[[#This Row],[ID ROW]]+INT((Table1[[#This Row],[ID ROW]]-1)/12)*2)</f>
        <v>3</v>
      </c>
      <c r="N14" s="10" t="str">
        <f t="shared" si="3"/>
        <v>RSR3B2</v>
      </c>
      <c r="O14" s="10">
        <f>IF(Table1[[#This Row],[ID ROW]]&lt;=12,1,INT((Table1[[#This Row],[ID ROW]]-1)/12)+1)</f>
        <v>1</v>
      </c>
      <c r="P14" s="10">
        <f>Table1[[#This Row],[ID ROW]]-((Table1[[#This Row],[SECT]]-1)*12)</f>
        <v>3</v>
      </c>
    </row>
    <row r="15" spans="1:16" ht="15.75" customHeight="1" x14ac:dyDescent="0.3">
      <c r="A15" s="6" t="s">
        <v>76</v>
      </c>
      <c r="B15" s="6" t="s">
        <v>77</v>
      </c>
      <c r="C15" s="6" t="s">
        <v>78</v>
      </c>
      <c r="F15" s="13" t="s">
        <v>72</v>
      </c>
      <c r="G15" s="8">
        <v>14</v>
      </c>
      <c r="H15" s="9" t="s">
        <v>21</v>
      </c>
      <c r="I15" s="9">
        <f t="shared" si="1"/>
        <v>3</v>
      </c>
      <c r="J15" s="9">
        <f t="shared" si="0"/>
        <v>3</v>
      </c>
      <c r="K15" s="10" t="str">
        <f t="shared" si="2"/>
        <v>S1R3B3</v>
      </c>
      <c r="L15" s="10" t="s">
        <v>22</v>
      </c>
      <c r="M15" s="10">
        <f>IF(Table1[[#This Row],[ID ROW]]&lt;=12,Table1[[#This Row],[ID ROW]],Table1[[#This Row],[ID ROW]]+INT((Table1[[#This Row],[ID ROW]]-1)/12)*2)</f>
        <v>3</v>
      </c>
      <c r="N15" s="10" t="str">
        <f t="shared" si="3"/>
        <v>RSR3B3</v>
      </c>
      <c r="O15" s="10">
        <f>IF(Table1[[#This Row],[ID ROW]]&lt;=12,1,INT((Table1[[#This Row],[ID ROW]]-1)/12)+1)</f>
        <v>1</v>
      </c>
      <c r="P15" s="10">
        <f>Table1[[#This Row],[ID ROW]]-((Table1[[#This Row],[SECT]]-1)*12)</f>
        <v>3</v>
      </c>
    </row>
    <row r="16" spans="1:16" ht="15.75" customHeight="1" x14ac:dyDescent="0.25">
      <c r="A16" s="6" t="s">
        <v>79</v>
      </c>
      <c r="B16" s="6" t="s">
        <v>80</v>
      </c>
      <c r="C16" s="6" t="s">
        <v>81</v>
      </c>
      <c r="F16" s="7" t="s">
        <v>82</v>
      </c>
      <c r="G16" s="8">
        <v>15</v>
      </c>
      <c r="H16" s="9" t="s">
        <v>21</v>
      </c>
      <c r="I16" s="9">
        <f t="shared" si="1"/>
        <v>3</v>
      </c>
      <c r="J16" s="9">
        <f t="shared" si="0"/>
        <v>4</v>
      </c>
      <c r="K16" s="10" t="str">
        <f t="shared" si="2"/>
        <v>S1R3B4</v>
      </c>
      <c r="L16" s="10" t="s">
        <v>22</v>
      </c>
      <c r="M16" s="10">
        <f>IF(Table1[[#This Row],[ID ROW]]&lt;=12,Table1[[#This Row],[ID ROW]],Table1[[#This Row],[ID ROW]]+INT((Table1[[#This Row],[ID ROW]]-1)/12)*2)</f>
        <v>3</v>
      </c>
      <c r="N16" s="10" t="str">
        <f t="shared" si="3"/>
        <v>RSR3B4</v>
      </c>
      <c r="O16" s="10">
        <f>IF(Table1[[#This Row],[ID ROW]]&lt;=12,1,INT((Table1[[#This Row],[ID ROW]]-1)/12)+1)</f>
        <v>1</v>
      </c>
      <c r="P16" s="10">
        <f>Table1[[#This Row],[ID ROW]]-((Table1[[#This Row],[SECT]]-1)*12)</f>
        <v>3</v>
      </c>
    </row>
    <row r="17" spans="1:16" ht="15.75" customHeight="1" x14ac:dyDescent="0.3">
      <c r="A17" s="6" t="s">
        <v>83</v>
      </c>
      <c r="B17" s="6" t="s">
        <v>84</v>
      </c>
      <c r="C17" s="6" t="s">
        <v>85</v>
      </c>
      <c r="F17" s="13" t="s">
        <v>86</v>
      </c>
      <c r="G17" s="8">
        <v>16</v>
      </c>
      <c r="H17" s="9" t="s">
        <v>21</v>
      </c>
      <c r="I17" s="9">
        <f t="shared" si="1"/>
        <v>3</v>
      </c>
      <c r="J17" s="9">
        <f t="shared" si="0"/>
        <v>5</v>
      </c>
      <c r="K17" s="10" t="str">
        <f t="shared" si="2"/>
        <v>S1R3B5</v>
      </c>
      <c r="L17" s="10" t="s">
        <v>22</v>
      </c>
      <c r="M17" s="10">
        <f>IF(Table1[[#This Row],[ID ROW]]&lt;=12,Table1[[#This Row],[ID ROW]],Table1[[#This Row],[ID ROW]]+INT((Table1[[#This Row],[ID ROW]]-1)/12)*2)</f>
        <v>3</v>
      </c>
      <c r="N17" s="10" t="str">
        <f t="shared" si="3"/>
        <v>RSR3B5</v>
      </c>
      <c r="O17" s="10">
        <f>IF(Table1[[#This Row],[ID ROW]]&lt;=12,1,INT((Table1[[#This Row],[ID ROW]]-1)/12)+1)</f>
        <v>1</v>
      </c>
      <c r="P17" s="10">
        <f>Table1[[#This Row],[ID ROW]]-((Table1[[#This Row],[SECT]]-1)*12)</f>
        <v>3</v>
      </c>
    </row>
    <row r="18" spans="1:16" ht="15.75" customHeight="1" x14ac:dyDescent="0.25">
      <c r="A18" s="6" t="s">
        <v>87</v>
      </c>
      <c r="B18" s="6" t="s">
        <v>88</v>
      </c>
      <c r="D18" s="6" t="s">
        <v>89</v>
      </c>
      <c r="F18" s="7" t="s">
        <v>90</v>
      </c>
      <c r="G18" s="8">
        <v>17</v>
      </c>
      <c r="H18" s="9" t="s">
        <v>21</v>
      </c>
      <c r="I18" s="9">
        <f t="shared" si="1"/>
        <v>3</v>
      </c>
      <c r="J18" s="9">
        <f t="shared" si="0"/>
        <v>6</v>
      </c>
      <c r="K18" s="10" t="str">
        <f t="shared" si="2"/>
        <v>S1R3B6</v>
      </c>
      <c r="L18" s="10" t="s">
        <v>22</v>
      </c>
      <c r="M18" s="10">
        <f>IF(Table1[[#This Row],[ID ROW]]&lt;=12,Table1[[#This Row],[ID ROW]],Table1[[#This Row],[ID ROW]]+INT((Table1[[#This Row],[ID ROW]]-1)/12)*2)</f>
        <v>3</v>
      </c>
      <c r="N18" s="10" t="str">
        <f t="shared" si="3"/>
        <v>RSR3B6</v>
      </c>
      <c r="O18" s="10">
        <f>IF(Table1[[#This Row],[ID ROW]]&lt;=12,1,INT((Table1[[#This Row],[ID ROW]]-1)/12)+1)</f>
        <v>1</v>
      </c>
      <c r="P18" s="10">
        <f>Table1[[#This Row],[ID ROW]]-((Table1[[#This Row],[SECT]]-1)*12)</f>
        <v>3</v>
      </c>
    </row>
    <row r="19" spans="1:16" ht="15.75" customHeight="1" x14ac:dyDescent="0.3">
      <c r="A19" s="6" t="s">
        <v>91</v>
      </c>
      <c r="B19" s="6" t="s">
        <v>92</v>
      </c>
      <c r="C19" s="6" t="s">
        <v>93</v>
      </c>
      <c r="D19" s="6" t="s">
        <v>94</v>
      </c>
      <c r="F19" s="13" t="s">
        <v>95</v>
      </c>
      <c r="G19" s="8">
        <v>18</v>
      </c>
      <c r="H19" s="9" t="s">
        <v>21</v>
      </c>
      <c r="I19" s="9">
        <f t="shared" si="1"/>
        <v>4</v>
      </c>
      <c r="J19" s="9">
        <f t="shared" si="0"/>
        <v>1</v>
      </c>
      <c r="K19" s="10" t="str">
        <f t="shared" si="2"/>
        <v>S1R4B1</v>
      </c>
      <c r="L19" s="10" t="s">
        <v>22</v>
      </c>
      <c r="M19" s="10">
        <f>IF(Table1[[#This Row],[ID ROW]]&lt;=12,Table1[[#This Row],[ID ROW]],Table1[[#This Row],[ID ROW]]+INT((Table1[[#This Row],[ID ROW]]-1)/12)*2)</f>
        <v>4</v>
      </c>
      <c r="N19" s="10" t="str">
        <f t="shared" si="3"/>
        <v>RSR4B1</v>
      </c>
      <c r="O19" s="10">
        <f>IF(Table1[[#This Row],[ID ROW]]&lt;=12,1,INT((Table1[[#This Row],[ID ROW]]-1)/12)+1)</f>
        <v>1</v>
      </c>
      <c r="P19" s="10">
        <f>Table1[[#This Row],[ID ROW]]-((Table1[[#This Row],[SECT]]-1)*12)</f>
        <v>4</v>
      </c>
    </row>
    <row r="20" spans="1:16" ht="15.75" customHeight="1" x14ac:dyDescent="0.25">
      <c r="A20" s="6" t="s">
        <v>96</v>
      </c>
      <c r="B20" s="6" t="s">
        <v>97</v>
      </c>
      <c r="C20" s="6" t="s">
        <v>98</v>
      </c>
      <c r="F20" s="7" t="s">
        <v>99</v>
      </c>
      <c r="G20" s="8">
        <v>19</v>
      </c>
      <c r="H20" s="9" t="s">
        <v>21</v>
      </c>
      <c r="I20" s="9">
        <f t="shared" si="1"/>
        <v>4</v>
      </c>
      <c r="J20" s="9">
        <f t="shared" si="0"/>
        <v>2</v>
      </c>
      <c r="K20" s="10" t="str">
        <f t="shared" si="2"/>
        <v>S1R4B2</v>
      </c>
      <c r="L20" s="10" t="s">
        <v>22</v>
      </c>
      <c r="M20" s="10">
        <f>IF(Table1[[#This Row],[ID ROW]]&lt;=12,Table1[[#This Row],[ID ROW]],Table1[[#This Row],[ID ROW]]+INT((Table1[[#This Row],[ID ROW]]-1)/12)*2)</f>
        <v>4</v>
      </c>
      <c r="N20" s="10" t="str">
        <f t="shared" si="3"/>
        <v>RSR4B2</v>
      </c>
      <c r="O20" s="10">
        <f>IF(Table1[[#This Row],[ID ROW]]&lt;=12,1,INT((Table1[[#This Row],[ID ROW]]-1)/12)+1)</f>
        <v>1</v>
      </c>
      <c r="P20" s="10">
        <f>Table1[[#This Row],[ID ROW]]-((Table1[[#This Row],[SECT]]-1)*12)</f>
        <v>4</v>
      </c>
    </row>
    <row r="21" spans="1:16" ht="15.75" customHeight="1" x14ac:dyDescent="0.3">
      <c r="A21" s="6" t="s">
        <v>100</v>
      </c>
      <c r="B21" s="6" t="s">
        <v>101</v>
      </c>
      <c r="C21" s="6" t="s">
        <v>102</v>
      </c>
      <c r="F21" s="13" t="s">
        <v>103</v>
      </c>
      <c r="G21" s="8">
        <v>20</v>
      </c>
      <c r="H21" s="9" t="s">
        <v>21</v>
      </c>
      <c r="I21" s="9">
        <f t="shared" si="1"/>
        <v>4</v>
      </c>
      <c r="J21" s="9">
        <f t="shared" si="0"/>
        <v>3</v>
      </c>
      <c r="K21" s="10" t="str">
        <f t="shared" si="2"/>
        <v>S1R4B3</v>
      </c>
      <c r="L21" s="10" t="s">
        <v>22</v>
      </c>
      <c r="M21" s="10">
        <f>IF(Table1[[#This Row],[ID ROW]]&lt;=12,Table1[[#This Row],[ID ROW]],Table1[[#This Row],[ID ROW]]+INT((Table1[[#This Row],[ID ROW]]-1)/12)*2)</f>
        <v>4</v>
      </c>
      <c r="N21" s="10" t="str">
        <f t="shared" si="3"/>
        <v>RSR4B3</v>
      </c>
      <c r="O21" s="10">
        <f>IF(Table1[[#This Row],[ID ROW]]&lt;=12,1,INT((Table1[[#This Row],[ID ROW]]-1)/12)+1)</f>
        <v>1</v>
      </c>
      <c r="P21" s="10">
        <f>Table1[[#This Row],[ID ROW]]-((Table1[[#This Row],[SECT]]-1)*12)</f>
        <v>4</v>
      </c>
    </row>
    <row r="22" spans="1:16" ht="15.75" customHeight="1" x14ac:dyDescent="0.25">
      <c r="A22" s="6" t="s">
        <v>104</v>
      </c>
      <c r="B22" s="6" t="s">
        <v>105</v>
      </c>
      <c r="C22" s="6" t="s">
        <v>106</v>
      </c>
      <c r="F22" s="7" t="s">
        <v>107</v>
      </c>
      <c r="G22" s="8">
        <v>21</v>
      </c>
      <c r="H22" s="9" t="s">
        <v>21</v>
      </c>
      <c r="I22" s="9">
        <f t="shared" si="1"/>
        <v>4</v>
      </c>
      <c r="J22" s="9">
        <f t="shared" si="0"/>
        <v>4</v>
      </c>
      <c r="K22" s="10" t="str">
        <f t="shared" si="2"/>
        <v>S1R4B4</v>
      </c>
      <c r="L22" s="10" t="s">
        <v>22</v>
      </c>
      <c r="M22" s="10">
        <f>IF(Table1[[#This Row],[ID ROW]]&lt;=12,Table1[[#This Row],[ID ROW]],Table1[[#This Row],[ID ROW]]+INT((Table1[[#This Row],[ID ROW]]-1)/12)*2)</f>
        <v>4</v>
      </c>
      <c r="N22" s="10" t="str">
        <f t="shared" si="3"/>
        <v>RSR4B4</v>
      </c>
      <c r="O22" s="10">
        <f>IF(Table1[[#This Row],[ID ROW]]&lt;=12,1,INT((Table1[[#This Row],[ID ROW]]-1)/12)+1)</f>
        <v>1</v>
      </c>
      <c r="P22" s="10">
        <f>Table1[[#This Row],[ID ROW]]-((Table1[[#This Row],[SECT]]-1)*12)</f>
        <v>4</v>
      </c>
    </row>
    <row r="23" spans="1:16" ht="15.75" customHeight="1" x14ac:dyDescent="0.3">
      <c r="A23" s="6" t="s">
        <v>108</v>
      </c>
      <c r="B23" s="6" t="s">
        <v>109</v>
      </c>
      <c r="C23" s="6" t="s">
        <v>110</v>
      </c>
      <c r="F23" s="13" t="s">
        <v>111</v>
      </c>
      <c r="G23" s="8">
        <v>22</v>
      </c>
      <c r="H23" s="9" t="s">
        <v>21</v>
      </c>
      <c r="I23" s="9">
        <f t="shared" si="1"/>
        <v>4</v>
      </c>
      <c r="J23" s="9">
        <f t="shared" si="0"/>
        <v>5</v>
      </c>
      <c r="K23" s="10" t="str">
        <f t="shared" si="2"/>
        <v>S1R4B5</v>
      </c>
      <c r="L23" s="10" t="s">
        <v>22</v>
      </c>
      <c r="M23" s="10">
        <f>IF(Table1[[#This Row],[ID ROW]]&lt;=12,Table1[[#This Row],[ID ROW]],Table1[[#This Row],[ID ROW]]+INT((Table1[[#This Row],[ID ROW]]-1)/12)*2)</f>
        <v>4</v>
      </c>
      <c r="N23" s="10" t="str">
        <f t="shared" si="3"/>
        <v>RSR4B5</v>
      </c>
      <c r="O23" s="10">
        <f>IF(Table1[[#This Row],[ID ROW]]&lt;=12,1,INT((Table1[[#This Row],[ID ROW]]-1)/12)+1)</f>
        <v>1</v>
      </c>
      <c r="P23" s="10">
        <f>Table1[[#This Row],[ID ROW]]-((Table1[[#This Row],[SECT]]-1)*12)</f>
        <v>4</v>
      </c>
    </row>
    <row r="24" spans="1:16" ht="15.75" customHeight="1" x14ac:dyDescent="0.25">
      <c r="A24" s="6" t="s">
        <v>112</v>
      </c>
      <c r="B24" s="6" t="s">
        <v>113</v>
      </c>
      <c r="C24" s="6" t="s">
        <v>67</v>
      </c>
      <c r="F24" s="7" t="s">
        <v>114</v>
      </c>
      <c r="G24" s="8">
        <v>23</v>
      </c>
      <c r="H24" s="9" t="s">
        <v>21</v>
      </c>
      <c r="I24" s="9">
        <f t="shared" si="1"/>
        <v>5</v>
      </c>
      <c r="J24" s="9">
        <f t="shared" si="0"/>
        <v>1</v>
      </c>
      <c r="K24" s="10" t="str">
        <f t="shared" si="2"/>
        <v>S1R5B1</v>
      </c>
      <c r="L24" s="10" t="s">
        <v>22</v>
      </c>
      <c r="M24" s="10">
        <f>IF(Table1[[#This Row],[ID ROW]]&lt;=12,Table1[[#This Row],[ID ROW]],Table1[[#This Row],[ID ROW]]+INT((Table1[[#This Row],[ID ROW]]-1)/12)*2)</f>
        <v>5</v>
      </c>
      <c r="N24" s="10" t="str">
        <f t="shared" si="3"/>
        <v>RSR5B1</v>
      </c>
      <c r="O24" s="10">
        <f>IF(Table1[[#This Row],[ID ROW]]&lt;=12,1,INT((Table1[[#This Row],[ID ROW]]-1)/12)+1)</f>
        <v>1</v>
      </c>
      <c r="P24" s="10">
        <f>Table1[[#This Row],[ID ROW]]-((Table1[[#This Row],[SECT]]-1)*12)</f>
        <v>5</v>
      </c>
    </row>
    <row r="25" spans="1:16" ht="15.75" customHeight="1" x14ac:dyDescent="0.3">
      <c r="A25" s="6" t="s">
        <v>115</v>
      </c>
      <c r="B25" s="6" t="s">
        <v>116</v>
      </c>
      <c r="C25" s="6" t="s">
        <v>117</v>
      </c>
      <c r="F25" s="13" t="s">
        <v>118</v>
      </c>
      <c r="G25" s="8">
        <v>24</v>
      </c>
      <c r="H25" s="9" t="s">
        <v>21</v>
      </c>
      <c r="I25" s="9">
        <f t="shared" si="1"/>
        <v>5</v>
      </c>
      <c r="J25" s="9">
        <f t="shared" si="0"/>
        <v>2</v>
      </c>
      <c r="K25" s="10" t="str">
        <f t="shared" si="2"/>
        <v>S1R5B2</v>
      </c>
      <c r="L25" s="10" t="s">
        <v>22</v>
      </c>
      <c r="M25" s="10">
        <f>IF(Table1[[#This Row],[ID ROW]]&lt;=12,Table1[[#This Row],[ID ROW]],Table1[[#This Row],[ID ROW]]+INT((Table1[[#This Row],[ID ROW]]-1)/12)*2)</f>
        <v>5</v>
      </c>
      <c r="N25" s="10" t="str">
        <f t="shared" si="3"/>
        <v>RSR5B2</v>
      </c>
      <c r="O25" s="10">
        <f>IF(Table1[[#This Row],[ID ROW]]&lt;=12,1,INT((Table1[[#This Row],[ID ROW]]-1)/12)+1)</f>
        <v>1</v>
      </c>
      <c r="P25" s="10">
        <f>Table1[[#This Row],[ID ROW]]-((Table1[[#This Row],[SECT]]-1)*12)</f>
        <v>5</v>
      </c>
    </row>
    <row r="26" spans="1:16" ht="15.75" customHeight="1" x14ac:dyDescent="0.25">
      <c r="A26" s="6" t="s">
        <v>119</v>
      </c>
      <c r="B26" s="6" t="s">
        <v>120</v>
      </c>
      <c r="C26" s="6" t="s">
        <v>121</v>
      </c>
      <c r="D26" s="6" t="s">
        <v>122</v>
      </c>
      <c r="F26" s="7" t="s">
        <v>123</v>
      </c>
      <c r="G26" s="8">
        <v>25</v>
      </c>
      <c r="H26" s="9" t="s">
        <v>21</v>
      </c>
      <c r="I26" s="9">
        <f t="shared" si="1"/>
        <v>5</v>
      </c>
      <c r="J26" s="9">
        <f t="shared" si="0"/>
        <v>3</v>
      </c>
      <c r="K26" s="10" t="str">
        <f t="shared" si="2"/>
        <v>S1R5B3</v>
      </c>
      <c r="L26" s="10" t="s">
        <v>22</v>
      </c>
      <c r="M26" s="10">
        <f>IF(Table1[[#This Row],[ID ROW]]&lt;=12,Table1[[#This Row],[ID ROW]],Table1[[#This Row],[ID ROW]]+INT((Table1[[#This Row],[ID ROW]]-1)/12)*2)</f>
        <v>5</v>
      </c>
      <c r="N26" s="10" t="str">
        <f t="shared" si="3"/>
        <v>RSR5B3</v>
      </c>
      <c r="O26" s="10">
        <f>IF(Table1[[#This Row],[ID ROW]]&lt;=12,1,INT((Table1[[#This Row],[ID ROW]]-1)/12)+1)</f>
        <v>1</v>
      </c>
      <c r="P26" s="10">
        <f>Table1[[#This Row],[ID ROW]]-((Table1[[#This Row],[SECT]]-1)*12)</f>
        <v>5</v>
      </c>
    </row>
    <row r="27" spans="1:16" ht="15.75" customHeight="1" x14ac:dyDescent="0.3">
      <c r="A27" s="6" t="s">
        <v>124</v>
      </c>
      <c r="B27" s="6" t="s">
        <v>125</v>
      </c>
      <c r="C27" s="6" t="s">
        <v>126</v>
      </c>
      <c r="D27" s="6" t="s">
        <v>127</v>
      </c>
      <c r="F27" s="13" t="s">
        <v>128</v>
      </c>
      <c r="G27" s="8">
        <v>26</v>
      </c>
      <c r="H27" s="9" t="s">
        <v>21</v>
      </c>
      <c r="I27" s="9">
        <f t="shared" si="1"/>
        <v>5</v>
      </c>
      <c r="J27" s="9">
        <f t="shared" si="0"/>
        <v>4</v>
      </c>
      <c r="K27" s="10" t="str">
        <f t="shared" si="2"/>
        <v>S1R5B4</v>
      </c>
      <c r="L27" s="10" t="s">
        <v>22</v>
      </c>
      <c r="M27" s="10">
        <f>IF(Table1[[#This Row],[ID ROW]]&lt;=12,Table1[[#This Row],[ID ROW]],Table1[[#This Row],[ID ROW]]+INT((Table1[[#This Row],[ID ROW]]-1)/12)*2)</f>
        <v>5</v>
      </c>
      <c r="N27" s="10" t="str">
        <f t="shared" si="3"/>
        <v>RSR5B4</v>
      </c>
      <c r="O27" s="10">
        <f>IF(Table1[[#This Row],[ID ROW]]&lt;=12,1,INT((Table1[[#This Row],[ID ROW]]-1)/12)+1)</f>
        <v>1</v>
      </c>
      <c r="P27" s="10">
        <f>Table1[[#This Row],[ID ROW]]-((Table1[[#This Row],[SECT]]-1)*12)</f>
        <v>5</v>
      </c>
    </row>
    <row r="28" spans="1:16" ht="15.75" customHeight="1" x14ac:dyDescent="0.25">
      <c r="A28" s="6" t="s">
        <v>129</v>
      </c>
      <c r="B28" s="6" t="s">
        <v>130</v>
      </c>
      <c r="C28" s="6" t="s">
        <v>131</v>
      </c>
      <c r="D28" s="6" t="s">
        <v>132</v>
      </c>
      <c r="F28" s="7" t="s">
        <v>133</v>
      </c>
      <c r="G28" s="8">
        <v>27</v>
      </c>
      <c r="H28" s="9" t="s">
        <v>21</v>
      </c>
      <c r="I28" s="9">
        <f t="shared" si="1"/>
        <v>5</v>
      </c>
      <c r="J28" s="9">
        <f t="shared" si="0"/>
        <v>5</v>
      </c>
      <c r="K28" s="10" t="str">
        <f t="shared" si="2"/>
        <v>S1R5B5</v>
      </c>
      <c r="L28" s="10" t="s">
        <v>22</v>
      </c>
      <c r="M28" s="10">
        <f>IF(Table1[[#This Row],[ID ROW]]&lt;=12,Table1[[#This Row],[ID ROW]],Table1[[#This Row],[ID ROW]]+INT((Table1[[#This Row],[ID ROW]]-1)/12)*2)</f>
        <v>5</v>
      </c>
      <c r="N28" s="10" t="str">
        <f t="shared" si="3"/>
        <v>RSR5B5</v>
      </c>
      <c r="O28" s="10">
        <f>IF(Table1[[#This Row],[ID ROW]]&lt;=12,1,INT((Table1[[#This Row],[ID ROW]]-1)/12)+1)</f>
        <v>1</v>
      </c>
      <c r="P28" s="10">
        <f>Table1[[#This Row],[ID ROW]]-((Table1[[#This Row],[SECT]]-1)*12)</f>
        <v>5</v>
      </c>
    </row>
    <row r="29" spans="1:16" ht="15.75" customHeight="1" x14ac:dyDescent="0.3">
      <c r="A29" s="6" t="s">
        <v>134</v>
      </c>
      <c r="B29" s="6" t="s">
        <v>135</v>
      </c>
      <c r="C29" s="6" t="s">
        <v>136</v>
      </c>
      <c r="F29" s="13" t="s">
        <v>137</v>
      </c>
      <c r="G29" s="8">
        <v>28</v>
      </c>
      <c r="H29" s="9" t="s">
        <v>21</v>
      </c>
      <c r="I29" s="9">
        <f t="shared" si="1"/>
        <v>5</v>
      </c>
      <c r="J29" s="9">
        <f t="shared" si="0"/>
        <v>6</v>
      </c>
      <c r="K29" s="10" t="str">
        <f t="shared" si="2"/>
        <v>S1R5B6</v>
      </c>
      <c r="L29" s="10" t="s">
        <v>22</v>
      </c>
      <c r="M29" s="10">
        <f>IF(Table1[[#This Row],[ID ROW]]&lt;=12,Table1[[#This Row],[ID ROW]],Table1[[#This Row],[ID ROW]]+INT((Table1[[#This Row],[ID ROW]]-1)/12)*2)</f>
        <v>5</v>
      </c>
      <c r="N29" s="10" t="str">
        <f t="shared" si="3"/>
        <v>RSR5B6</v>
      </c>
      <c r="O29" s="10">
        <f>IF(Table1[[#This Row],[ID ROW]]&lt;=12,1,INT((Table1[[#This Row],[ID ROW]]-1)/12)+1)</f>
        <v>1</v>
      </c>
      <c r="P29" s="10">
        <f>Table1[[#This Row],[ID ROW]]-((Table1[[#This Row],[SECT]]-1)*12)</f>
        <v>5</v>
      </c>
    </row>
    <row r="30" spans="1:16" ht="15.75" customHeight="1" x14ac:dyDescent="0.25">
      <c r="A30" s="6" t="s">
        <v>138</v>
      </c>
      <c r="B30" s="6" t="s">
        <v>139</v>
      </c>
      <c r="C30" s="6" t="s">
        <v>140</v>
      </c>
      <c r="D30" s="6" t="s">
        <v>141</v>
      </c>
      <c r="F30" s="7" t="s">
        <v>142</v>
      </c>
      <c r="G30" s="8">
        <v>29</v>
      </c>
      <c r="H30" s="9" t="s">
        <v>21</v>
      </c>
      <c r="I30" s="9">
        <f t="shared" si="1"/>
        <v>6</v>
      </c>
      <c r="J30" s="9">
        <f t="shared" si="0"/>
        <v>1</v>
      </c>
      <c r="K30" s="10" t="str">
        <f t="shared" si="2"/>
        <v>S1R6B1</v>
      </c>
      <c r="L30" s="10" t="s">
        <v>22</v>
      </c>
      <c r="M30" s="10">
        <f>IF(Table1[[#This Row],[ID ROW]]&lt;=12,Table1[[#This Row],[ID ROW]],Table1[[#This Row],[ID ROW]]+INT((Table1[[#This Row],[ID ROW]]-1)/12)*2)</f>
        <v>6</v>
      </c>
      <c r="N30" s="10" t="str">
        <f t="shared" si="3"/>
        <v>RSR6B1</v>
      </c>
      <c r="O30" s="10">
        <f>IF(Table1[[#This Row],[ID ROW]]&lt;=12,1,INT((Table1[[#This Row],[ID ROW]]-1)/12)+1)</f>
        <v>1</v>
      </c>
      <c r="P30" s="10">
        <f>Table1[[#This Row],[ID ROW]]-((Table1[[#This Row],[SECT]]-1)*12)</f>
        <v>6</v>
      </c>
    </row>
    <row r="31" spans="1:16" ht="15.75" customHeight="1" x14ac:dyDescent="0.3">
      <c r="A31" s="6" t="s">
        <v>143</v>
      </c>
      <c r="B31" s="6" t="s">
        <v>144</v>
      </c>
      <c r="C31" s="6" t="s">
        <v>145</v>
      </c>
      <c r="D31" s="6" t="s">
        <v>146</v>
      </c>
      <c r="F31" s="13" t="s">
        <v>142</v>
      </c>
      <c r="G31" s="8">
        <v>30</v>
      </c>
      <c r="H31" s="9" t="s">
        <v>21</v>
      </c>
      <c r="I31" s="9">
        <f t="shared" si="1"/>
        <v>6</v>
      </c>
      <c r="J31" s="9">
        <f t="shared" si="0"/>
        <v>2</v>
      </c>
      <c r="K31" s="10" t="str">
        <f t="shared" si="2"/>
        <v>S1R6B2</v>
      </c>
      <c r="L31" s="10" t="s">
        <v>22</v>
      </c>
      <c r="M31" s="10">
        <f>IF(Table1[[#This Row],[ID ROW]]&lt;=12,Table1[[#This Row],[ID ROW]],Table1[[#This Row],[ID ROW]]+INT((Table1[[#This Row],[ID ROW]]-1)/12)*2)</f>
        <v>6</v>
      </c>
      <c r="N31" s="10" t="str">
        <f t="shared" si="3"/>
        <v>RSR6B2</v>
      </c>
      <c r="O31" s="10">
        <f>IF(Table1[[#This Row],[ID ROW]]&lt;=12,1,INT((Table1[[#This Row],[ID ROW]]-1)/12)+1)</f>
        <v>1</v>
      </c>
      <c r="P31" s="10">
        <f>Table1[[#This Row],[ID ROW]]-((Table1[[#This Row],[SECT]]-1)*12)</f>
        <v>6</v>
      </c>
    </row>
    <row r="32" spans="1:16" ht="15.75" customHeight="1" x14ac:dyDescent="0.25">
      <c r="A32" s="6" t="s">
        <v>147</v>
      </c>
      <c r="B32" s="6" t="s">
        <v>148</v>
      </c>
      <c r="C32" s="14">
        <v>40068</v>
      </c>
      <c r="D32" s="15" t="s">
        <v>141</v>
      </c>
      <c r="F32" s="7" t="s">
        <v>142</v>
      </c>
      <c r="G32" s="8">
        <v>31</v>
      </c>
      <c r="H32" s="9" t="s">
        <v>21</v>
      </c>
      <c r="I32" s="9">
        <f t="shared" si="1"/>
        <v>6</v>
      </c>
      <c r="J32" s="9">
        <f t="shared" si="0"/>
        <v>3</v>
      </c>
      <c r="K32" s="10" t="str">
        <f t="shared" si="2"/>
        <v>S1R6B3</v>
      </c>
      <c r="L32" s="10" t="s">
        <v>22</v>
      </c>
      <c r="M32" s="10">
        <f>IF(Table1[[#This Row],[ID ROW]]&lt;=12,Table1[[#This Row],[ID ROW]],Table1[[#This Row],[ID ROW]]+INT((Table1[[#This Row],[ID ROW]]-1)/12)*2)</f>
        <v>6</v>
      </c>
      <c r="N32" s="10" t="str">
        <f t="shared" si="3"/>
        <v>RSR6B3</v>
      </c>
      <c r="O32" s="10">
        <f>IF(Table1[[#This Row],[ID ROW]]&lt;=12,1,INT((Table1[[#This Row],[ID ROW]]-1)/12)+1)</f>
        <v>1</v>
      </c>
      <c r="P32" s="10">
        <f>Table1[[#This Row],[ID ROW]]-((Table1[[#This Row],[SECT]]-1)*12)</f>
        <v>6</v>
      </c>
    </row>
    <row r="33" spans="1:16" ht="15.75" customHeight="1" x14ac:dyDescent="0.3">
      <c r="A33" s="6" t="s">
        <v>149</v>
      </c>
      <c r="B33" s="6" t="s">
        <v>150</v>
      </c>
      <c r="C33" s="6" t="s">
        <v>67</v>
      </c>
      <c r="F33" s="13" t="s">
        <v>151</v>
      </c>
      <c r="G33" s="8">
        <v>32</v>
      </c>
      <c r="H33" s="9" t="s">
        <v>21</v>
      </c>
      <c r="I33" s="9">
        <f t="shared" si="1"/>
        <v>6</v>
      </c>
      <c r="J33" s="9">
        <f t="shared" si="0"/>
        <v>4</v>
      </c>
      <c r="K33" s="10" t="str">
        <f t="shared" si="2"/>
        <v>S1R6B4</v>
      </c>
      <c r="L33" s="10" t="s">
        <v>22</v>
      </c>
      <c r="M33" s="10">
        <f>IF(Table1[[#This Row],[ID ROW]]&lt;=12,Table1[[#This Row],[ID ROW]],Table1[[#This Row],[ID ROW]]+INT((Table1[[#This Row],[ID ROW]]-1)/12)*2)</f>
        <v>6</v>
      </c>
      <c r="N33" s="10" t="str">
        <f t="shared" si="3"/>
        <v>RSR6B4</v>
      </c>
      <c r="O33" s="10">
        <f>IF(Table1[[#This Row],[ID ROW]]&lt;=12,1,INT((Table1[[#This Row],[ID ROW]]-1)/12)+1)</f>
        <v>1</v>
      </c>
      <c r="P33" s="10">
        <f>Table1[[#This Row],[ID ROW]]-((Table1[[#This Row],[SECT]]-1)*12)</f>
        <v>6</v>
      </c>
    </row>
    <row r="34" spans="1:16" ht="15.75" customHeight="1" x14ac:dyDescent="0.25">
      <c r="A34" s="6" t="s">
        <v>152</v>
      </c>
      <c r="B34" s="6" t="s">
        <v>153</v>
      </c>
      <c r="C34" s="6" t="s">
        <v>154</v>
      </c>
      <c r="F34" s="7" t="s">
        <v>155</v>
      </c>
      <c r="G34" s="8">
        <v>33</v>
      </c>
      <c r="H34" s="9" t="s">
        <v>21</v>
      </c>
      <c r="I34" s="9">
        <f t="shared" si="1"/>
        <v>6</v>
      </c>
      <c r="J34" s="9">
        <f t="shared" si="0"/>
        <v>5</v>
      </c>
      <c r="K34" s="10" t="str">
        <f t="shared" si="2"/>
        <v>S1R6B5</v>
      </c>
      <c r="L34" s="10" t="s">
        <v>22</v>
      </c>
      <c r="M34" s="10">
        <f>IF(Table1[[#This Row],[ID ROW]]&lt;=12,Table1[[#This Row],[ID ROW]],Table1[[#This Row],[ID ROW]]+INT((Table1[[#This Row],[ID ROW]]-1)/12)*2)</f>
        <v>6</v>
      </c>
      <c r="N34" s="10" t="str">
        <f t="shared" si="3"/>
        <v>RSR6B5</v>
      </c>
      <c r="O34" s="10">
        <f>IF(Table1[[#This Row],[ID ROW]]&lt;=12,1,INT((Table1[[#This Row],[ID ROW]]-1)/12)+1)</f>
        <v>1</v>
      </c>
      <c r="P34" s="10">
        <f>Table1[[#This Row],[ID ROW]]-((Table1[[#This Row],[SECT]]-1)*12)</f>
        <v>6</v>
      </c>
    </row>
    <row r="35" spans="1:16" ht="15.75" customHeight="1" x14ac:dyDescent="0.3">
      <c r="A35" s="6" t="s">
        <v>156</v>
      </c>
      <c r="B35" s="6" t="s">
        <v>157</v>
      </c>
      <c r="C35" s="6" t="s">
        <v>158</v>
      </c>
      <c r="F35" s="13" t="s">
        <v>159</v>
      </c>
      <c r="G35" s="8">
        <v>34</v>
      </c>
      <c r="H35" s="9" t="s">
        <v>21</v>
      </c>
      <c r="I35" s="9">
        <f t="shared" si="1"/>
        <v>7</v>
      </c>
      <c r="J35" s="9">
        <f t="shared" si="0"/>
        <v>1</v>
      </c>
      <c r="K35" s="10" t="str">
        <f t="shared" si="2"/>
        <v>S1R7B1</v>
      </c>
      <c r="L35" s="10" t="s">
        <v>22</v>
      </c>
      <c r="M35" s="10">
        <f>IF(Table1[[#This Row],[ID ROW]]&lt;=12,Table1[[#This Row],[ID ROW]],Table1[[#This Row],[ID ROW]]+INT((Table1[[#This Row],[ID ROW]]-1)/12)*2)</f>
        <v>7</v>
      </c>
      <c r="N35" s="10" t="str">
        <f t="shared" si="3"/>
        <v>RSR7B1</v>
      </c>
      <c r="O35" s="10">
        <f>IF(Table1[[#This Row],[ID ROW]]&lt;=12,1,INT((Table1[[#This Row],[ID ROW]]-1)/12)+1)</f>
        <v>1</v>
      </c>
      <c r="P35" s="10">
        <f>Table1[[#This Row],[ID ROW]]-((Table1[[#This Row],[SECT]]-1)*12)</f>
        <v>7</v>
      </c>
    </row>
    <row r="36" spans="1:16" ht="15.75" customHeight="1" x14ac:dyDescent="0.25">
      <c r="A36" s="6" t="s">
        <v>160</v>
      </c>
      <c r="B36" s="6" t="s">
        <v>161</v>
      </c>
      <c r="C36" s="6" t="s">
        <v>162</v>
      </c>
      <c r="F36" s="7" t="s">
        <v>163</v>
      </c>
      <c r="G36" s="8">
        <v>35</v>
      </c>
      <c r="H36" s="9" t="s">
        <v>21</v>
      </c>
      <c r="I36" s="9">
        <f t="shared" si="1"/>
        <v>7</v>
      </c>
      <c r="J36" s="9">
        <f t="shared" si="0"/>
        <v>2</v>
      </c>
      <c r="K36" s="10" t="str">
        <f t="shared" si="2"/>
        <v>S1R7B2</v>
      </c>
      <c r="L36" s="10" t="s">
        <v>22</v>
      </c>
      <c r="M36" s="10">
        <f>IF(Table1[[#This Row],[ID ROW]]&lt;=12,Table1[[#This Row],[ID ROW]],Table1[[#This Row],[ID ROW]]+INT((Table1[[#This Row],[ID ROW]]-1)/12)*2)</f>
        <v>7</v>
      </c>
      <c r="N36" s="10" t="str">
        <f t="shared" si="3"/>
        <v>RSR7B2</v>
      </c>
      <c r="O36" s="10">
        <f>IF(Table1[[#This Row],[ID ROW]]&lt;=12,1,INT((Table1[[#This Row],[ID ROW]]-1)/12)+1)</f>
        <v>1</v>
      </c>
      <c r="P36" s="10">
        <f>Table1[[#This Row],[ID ROW]]-((Table1[[#This Row],[SECT]]-1)*12)</f>
        <v>7</v>
      </c>
    </row>
    <row r="37" spans="1:16" ht="15.75" customHeight="1" x14ac:dyDescent="0.3">
      <c r="A37" s="6" t="s">
        <v>164</v>
      </c>
      <c r="B37" s="6" t="s">
        <v>165</v>
      </c>
      <c r="C37" s="6" t="s">
        <v>166</v>
      </c>
      <c r="F37" s="13" t="s">
        <v>163</v>
      </c>
      <c r="G37" s="8">
        <v>36</v>
      </c>
      <c r="H37" s="9" t="s">
        <v>21</v>
      </c>
      <c r="I37" s="9">
        <f t="shared" si="1"/>
        <v>7</v>
      </c>
      <c r="J37" s="9">
        <f t="shared" si="0"/>
        <v>3</v>
      </c>
      <c r="K37" s="10" t="str">
        <f t="shared" si="2"/>
        <v>S1R7B3</v>
      </c>
      <c r="L37" s="10" t="s">
        <v>22</v>
      </c>
      <c r="M37" s="10">
        <f>IF(Table1[[#This Row],[ID ROW]]&lt;=12,Table1[[#This Row],[ID ROW]],Table1[[#This Row],[ID ROW]]+INT((Table1[[#This Row],[ID ROW]]-1)/12)*2)</f>
        <v>7</v>
      </c>
      <c r="N37" s="10" t="str">
        <f t="shared" si="3"/>
        <v>RSR7B3</v>
      </c>
      <c r="O37" s="10">
        <f>IF(Table1[[#This Row],[ID ROW]]&lt;=12,1,INT((Table1[[#This Row],[ID ROW]]-1)/12)+1)</f>
        <v>1</v>
      </c>
      <c r="P37" s="10">
        <f>Table1[[#This Row],[ID ROW]]-((Table1[[#This Row],[SECT]]-1)*12)</f>
        <v>7</v>
      </c>
    </row>
    <row r="38" spans="1:16" ht="15.75" customHeight="1" x14ac:dyDescent="0.25">
      <c r="A38" s="6" t="s">
        <v>167</v>
      </c>
      <c r="B38" s="6" t="s">
        <v>130</v>
      </c>
      <c r="C38" s="6" t="s">
        <v>168</v>
      </c>
      <c r="D38" s="6" t="s">
        <v>169</v>
      </c>
      <c r="F38" s="7" t="s">
        <v>170</v>
      </c>
      <c r="G38" s="8">
        <v>37</v>
      </c>
      <c r="H38" s="9" t="s">
        <v>21</v>
      </c>
      <c r="I38" s="9">
        <f t="shared" si="1"/>
        <v>7</v>
      </c>
      <c r="J38" s="9">
        <f t="shared" si="0"/>
        <v>4</v>
      </c>
      <c r="K38" s="10" t="str">
        <f t="shared" si="2"/>
        <v>S1R7B4</v>
      </c>
      <c r="L38" s="10" t="s">
        <v>22</v>
      </c>
      <c r="M38" s="10">
        <f>IF(Table1[[#This Row],[ID ROW]]&lt;=12,Table1[[#This Row],[ID ROW]],Table1[[#This Row],[ID ROW]]+INT((Table1[[#This Row],[ID ROW]]-1)/12)*2)</f>
        <v>7</v>
      </c>
      <c r="N38" s="10" t="str">
        <f t="shared" si="3"/>
        <v>RSR7B4</v>
      </c>
      <c r="O38" s="10">
        <f>IF(Table1[[#This Row],[ID ROW]]&lt;=12,1,INT((Table1[[#This Row],[ID ROW]]-1)/12)+1)</f>
        <v>1</v>
      </c>
      <c r="P38" s="10">
        <f>Table1[[#This Row],[ID ROW]]-((Table1[[#This Row],[SECT]]-1)*12)</f>
        <v>7</v>
      </c>
    </row>
    <row r="39" spans="1:16" ht="15.75" customHeight="1" x14ac:dyDescent="0.3">
      <c r="A39" s="6" t="s">
        <v>171</v>
      </c>
      <c r="B39" s="6" t="s">
        <v>143</v>
      </c>
      <c r="C39" s="6" t="s">
        <v>172</v>
      </c>
      <c r="D39" s="6" t="s">
        <v>173</v>
      </c>
      <c r="F39" s="13" t="s">
        <v>174</v>
      </c>
      <c r="G39" s="8">
        <v>38</v>
      </c>
      <c r="H39" s="9" t="s">
        <v>21</v>
      </c>
      <c r="I39" s="9">
        <f t="shared" si="1"/>
        <v>7</v>
      </c>
      <c r="J39" s="9">
        <f t="shared" si="0"/>
        <v>5</v>
      </c>
      <c r="K39" s="10" t="str">
        <f t="shared" si="2"/>
        <v>S1R7B5</v>
      </c>
      <c r="L39" s="10" t="s">
        <v>22</v>
      </c>
      <c r="M39" s="10">
        <f>IF(Table1[[#This Row],[ID ROW]]&lt;=12,Table1[[#This Row],[ID ROW]],Table1[[#This Row],[ID ROW]]+INT((Table1[[#This Row],[ID ROW]]-1)/12)*2)</f>
        <v>7</v>
      </c>
      <c r="N39" s="10" t="str">
        <f t="shared" si="3"/>
        <v>RSR7B5</v>
      </c>
      <c r="O39" s="10">
        <f>IF(Table1[[#This Row],[ID ROW]]&lt;=12,1,INT((Table1[[#This Row],[ID ROW]]-1)/12)+1)</f>
        <v>1</v>
      </c>
      <c r="P39" s="10">
        <f>Table1[[#This Row],[ID ROW]]-((Table1[[#This Row],[SECT]]-1)*12)</f>
        <v>7</v>
      </c>
    </row>
    <row r="40" spans="1:16" ht="15.75" customHeight="1" x14ac:dyDescent="0.25">
      <c r="A40" s="6" t="s">
        <v>175</v>
      </c>
      <c r="B40" s="6" t="s">
        <v>176</v>
      </c>
      <c r="C40" s="6" t="s">
        <v>177</v>
      </c>
      <c r="F40" s="7" t="s">
        <v>178</v>
      </c>
      <c r="G40" s="8">
        <v>39</v>
      </c>
      <c r="H40" s="9" t="s">
        <v>21</v>
      </c>
      <c r="I40" s="9">
        <f t="shared" si="1"/>
        <v>7</v>
      </c>
      <c r="J40" s="9">
        <f t="shared" si="0"/>
        <v>6</v>
      </c>
      <c r="K40" s="10" t="str">
        <f t="shared" si="2"/>
        <v>S1R7B6</v>
      </c>
      <c r="L40" s="10" t="s">
        <v>22</v>
      </c>
      <c r="M40" s="10">
        <f>IF(Table1[[#This Row],[ID ROW]]&lt;=12,Table1[[#This Row],[ID ROW]],Table1[[#This Row],[ID ROW]]+INT((Table1[[#This Row],[ID ROW]]-1)/12)*2)</f>
        <v>7</v>
      </c>
      <c r="N40" s="10" t="str">
        <f t="shared" si="3"/>
        <v>RSR7B6</v>
      </c>
      <c r="O40" s="10">
        <f>IF(Table1[[#This Row],[ID ROW]]&lt;=12,1,INT((Table1[[#This Row],[ID ROW]]-1)/12)+1)</f>
        <v>1</v>
      </c>
      <c r="P40" s="10">
        <f>Table1[[#This Row],[ID ROW]]-((Table1[[#This Row],[SECT]]-1)*12)</f>
        <v>7</v>
      </c>
    </row>
    <row r="41" spans="1:16" ht="15.75" customHeight="1" x14ac:dyDescent="0.3">
      <c r="A41" s="6" t="s">
        <v>179</v>
      </c>
      <c r="B41" s="6" t="s">
        <v>180</v>
      </c>
      <c r="C41" s="6" t="s">
        <v>181</v>
      </c>
      <c r="D41" s="6" t="s">
        <v>182</v>
      </c>
      <c r="F41" s="13" t="s">
        <v>183</v>
      </c>
      <c r="G41" s="8">
        <v>40</v>
      </c>
      <c r="H41" s="9" t="s">
        <v>21</v>
      </c>
      <c r="I41" s="9">
        <f t="shared" si="1"/>
        <v>8</v>
      </c>
      <c r="J41" s="9">
        <f t="shared" si="0"/>
        <v>1</v>
      </c>
      <c r="K41" s="10" t="str">
        <f t="shared" si="2"/>
        <v>S1R8B1</v>
      </c>
      <c r="L41" s="10" t="s">
        <v>22</v>
      </c>
      <c r="M41" s="10">
        <f>IF(Table1[[#This Row],[ID ROW]]&lt;=12,Table1[[#This Row],[ID ROW]],Table1[[#This Row],[ID ROW]]+INT((Table1[[#This Row],[ID ROW]]-1)/12)*2)</f>
        <v>8</v>
      </c>
      <c r="N41" s="10" t="str">
        <f t="shared" si="3"/>
        <v>RSR8B1</v>
      </c>
      <c r="O41" s="10">
        <f>IF(Table1[[#This Row],[ID ROW]]&lt;=12,1,INT((Table1[[#This Row],[ID ROW]]-1)/12)+1)</f>
        <v>1</v>
      </c>
      <c r="P41" s="10">
        <f>Table1[[#This Row],[ID ROW]]-((Table1[[#This Row],[SECT]]-1)*12)</f>
        <v>8</v>
      </c>
    </row>
    <row r="42" spans="1:16" ht="15.75" customHeight="1" x14ac:dyDescent="0.25">
      <c r="A42" s="6" t="s">
        <v>184</v>
      </c>
      <c r="B42" s="6" t="s">
        <v>185</v>
      </c>
      <c r="C42" s="6" t="s">
        <v>186</v>
      </c>
      <c r="F42" s="7" t="s">
        <v>187</v>
      </c>
      <c r="G42" s="8">
        <v>41</v>
      </c>
      <c r="H42" s="9" t="s">
        <v>21</v>
      </c>
      <c r="I42" s="9">
        <f t="shared" si="1"/>
        <v>8</v>
      </c>
      <c r="J42" s="9">
        <f t="shared" si="0"/>
        <v>2</v>
      </c>
      <c r="K42" s="10" t="str">
        <f t="shared" si="2"/>
        <v>S1R8B2</v>
      </c>
      <c r="L42" s="10" t="s">
        <v>22</v>
      </c>
      <c r="M42" s="10">
        <f>IF(Table1[[#This Row],[ID ROW]]&lt;=12,Table1[[#This Row],[ID ROW]],Table1[[#This Row],[ID ROW]]+INT((Table1[[#This Row],[ID ROW]]-1)/12)*2)</f>
        <v>8</v>
      </c>
      <c r="N42" s="10" t="str">
        <f t="shared" si="3"/>
        <v>RSR8B2</v>
      </c>
      <c r="O42" s="10">
        <f>IF(Table1[[#This Row],[ID ROW]]&lt;=12,1,INT((Table1[[#This Row],[ID ROW]]-1)/12)+1)</f>
        <v>1</v>
      </c>
      <c r="P42" s="10">
        <f>Table1[[#This Row],[ID ROW]]-((Table1[[#This Row],[SECT]]-1)*12)</f>
        <v>8</v>
      </c>
    </row>
    <row r="43" spans="1:16" ht="15.75" customHeight="1" x14ac:dyDescent="0.3">
      <c r="A43" s="6" t="s">
        <v>188</v>
      </c>
      <c r="B43" s="6" t="s">
        <v>189</v>
      </c>
      <c r="C43" s="6" t="s">
        <v>190</v>
      </c>
      <c r="D43" s="6" t="s">
        <v>67</v>
      </c>
      <c r="F43" s="13" t="s">
        <v>191</v>
      </c>
      <c r="G43" s="8">
        <v>42</v>
      </c>
      <c r="H43" s="9" t="s">
        <v>21</v>
      </c>
      <c r="I43" s="9">
        <f t="shared" si="1"/>
        <v>8</v>
      </c>
      <c r="J43" s="9">
        <f t="shared" si="0"/>
        <v>3</v>
      </c>
      <c r="K43" s="10" t="str">
        <f t="shared" si="2"/>
        <v>S1R8B3</v>
      </c>
      <c r="L43" s="10" t="s">
        <v>22</v>
      </c>
      <c r="M43" s="10">
        <f>IF(Table1[[#This Row],[ID ROW]]&lt;=12,Table1[[#This Row],[ID ROW]],Table1[[#This Row],[ID ROW]]+INT((Table1[[#This Row],[ID ROW]]-1)/12)*2)</f>
        <v>8</v>
      </c>
      <c r="N43" s="10" t="str">
        <f t="shared" si="3"/>
        <v>RSR8B3</v>
      </c>
      <c r="O43" s="10">
        <f>IF(Table1[[#This Row],[ID ROW]]&lt;=12,1,INT((Table1[[#This Row],[ID ROW]]-1)/12)+1)</f>
        <v>1</v>
      </c>
      <c r="P43" s="10">
        <f>Table1[[#This Row],[ID ROW]]-((Table1[[#This Row],[SECT]]-1)*12)</f>
        <v>8</v>
      </c>
    </row>
    <row r="44" spans="1:16" ht="15.75" customHeight="1" x14ac:dyDescent="0.25">
      <c r="A44" s="6" t="s">
        <v>192</v>
      </c>
      <c r="B44" s="6" t="s">
        <v>193</v>
      </c>
      <c r="C44" s="6" t="s">
        <v>194</v>
      </c>
      <c r="D44" s="6" t="s">
        <v>195</v>
      </c>
      <c r="F44" s="7" t="s">
        <v>191</v>
      </c>
      <c r="G44" s="8">
        <v>43</v>
      </c>
      <c r="H44" s="9" t="s">
        <v>21</v>
      </c>
      <c r="I44" s="9">
        <f t="shared" si="1"/>
        <v>8</v>
      </c>
      <c r="J44" s="9">
        <f t="shared" si="0"/>
        <v>4</v>
      </c>
      <c r="K44" s="10" t="str">
        <f t="shared" si="2"/>
        <v>S1R8B4</v>
      </c>
      <c r="L44" s="10" t="s">
        <v>22</v>
      </c>
      <c r="M44" s="10">
        <f>IF(Table1[[#This Row],[ID ROW]]&lt;=12,Table1[[#This Row],[ID ROW]],Table1[[#This Row],[ID ROW]]+INT((Table1[[#This Row],[ID ROW]]-1)/12)*2)</f>
        <v>8</v>
      </c>
      <c r="N44" s="10" t="str">
        <f t="shared" si="3"/>
        <v>RSR8B4</v>
      </c>
      <c r="O44" s="10">
        <f>IF(Table1[[#This Row],[ID ROW]]&lt;=12,1,INT((Table1[[#This Row],[ID ROW]]-1)/12)+1)</f>
        <v>1</v>
      </c>
      <c r="P44" s="10">
        <f>Table1[[#This Row],[ID ROW]]-((Table1[[#This Row],[SECT]]-1)*12)</f>
        <v>8</v>
      </c>
    </row>
    <row r="45" spans="1:16" ht="15.75" customHeight="1" x14ac:dyDescent="0.3">
      <c r="A45" s="6" t="s">
        <v>196</v>
      </c>
      <c r="B45" s="6" t="s">
        <v>197</v>
      </c>
      <c r="C45" s="6" t="s">
        <v>198</v>
      </c>
      <c r="F45" s="13" t="s">
        <v>199</v>
      </c>
      <c r="G45" s="8">
        <v>44</v>
      </c>
      <c r="H45" s="9" t="s">
        <v>21</v>
      </c>
      <c r="I45" s="9">
        <f t="shared" si="1"/>
        <v>8</v>
      </c>
      <c r="J45" s="9">
        <f t="shared" si="0"/>
        <v>5</v>
      </c>
      <c r="K45" s="10" t="str">
        <f t="shared" si="2"/>
        <v>S1R8B5</v>
      </c>
      <c r="L45" s="10" t="s">
        <v>22</v>
      </c>
      <c r="M45" s="10">
        <f>IF(Table1[[#This Row],[ID ROW]]&lt;=12,Table1[[#This Row],[ID ROW]],Table1[[#This Row],[ID ROW]]+INT((Table1[[#This Row],[ID ROW]]-1)/12)*2)</f>
        <v>8</v>
      </c>
      <c r="N45" s="10" t="str">
        <f t="shared" si="3"/>
        <v>RSR8B5</v>
      </c>
      <c r="O45" s="10">
        <f>IF(Table1[[#This Row],[ID ROW]]&lt;=12,1,INT((Table1[[#This Row],[ID ROW]]-1)/12)+1)</f>
        <v>1</v>
      </c>
      <c r="P45" s="10">
        <f>Table1[[#This Row],[ID ROW]]-((Table1[[#This Row],[SECT]]-1)*12)</f>
        <v>8</v>
      </c>
    </row>
    <row r="46" spans="1:16" ht="15.75" customHeight="1" x14ac:dyDescent="0.25">
      <c r="A46" s="6" t="s">
        <v>200</v>
      </c>
      <c r="B46" s="6" t="s">
        <v>201</v>
      </c>
      <c r="C46" s="6" t="s">
        <v>202</v>
      </c>
      <c r="F46" s="7" t="s">
        <v>203</v>
      </c>
      <c r="G46" s="8">
        <v>45</v>
      </c>
      <c r="H46" s="9" t="s">
        <v>21</v>
      </c>
      <c r="I46" s="9">
        <f t="shared" si="1"/>
        <v>9</v>
      </c>
      <c r="J46" s="9">
        <f t="shared" si="0"/>
        <v>1</v>
      </c>
      <c r="K46" s="10" t="str">
        <f t="shared" si="2"/>
        <v>S1R9B1</v>
      </c>
      <c r="L46" s="10" t="s">
        <v>22</v>
      </c>
      <c r="M46" s="10">
        <f>IF(Table1[[#This Row],[ID ROW]]&lt;=12,Table1[[#This Row],[ID ROW]],Table1[[#This Row],[ID ROW]]+INT((Table1[[#This Row],[ID ROW]]-1)/12)*2)</f>
        <v>9</v>
      </c>
      <c r="N46" s="10" t="str">
        <f t="shared" si="3"/>
        <v>RSR9B1</v>
      </c>
      <c r="O46" s="10">
        <f>IF(Table1[[#This Row],[ID ROW]]&lt;=12,1,INT((Table1[[#This Row],[ID ROW]]-1)/12)+1)</f>
        <v>1</v>
      </c>
      <c r="P46" s="10">
        <f>Table1[[#This Row],[ID ROW]]-((Table1[[#This Row],[SECT]]-1)*12)</f>
        <v>9</v>
      </c>
    </row>
    <row r="47" spans="1:16" ht="15.75" customHeight="1" x14ac:dyDescent="0.3">
      <c r="A47" s="6" t="s">
        <v>204</v>
      </c>
      <c r="B47" s="6" t="s">
        <v>205</v>
      </c>
      <c r="C47" s="6" t="s">
        <v>206</v>
      </c>
      <c r="D47" s="6" t="s">
        <v>207</v>
      </c>
      <c r="F47" s="13" t="s">
        <v>208</v>
      </c>
      <c r="G47" s="8">
        <v>46</v>
      </c>
      <c r="H47" s="9" t="s">
        <v>21</v>
      </c>
      <c r="I47" s="9">
        <f t="shared" si="1"/>
        <v>9</v>
      </c>
      <c r="J47" s="9">
        <f t="shared" si="0"/>
        <v>2</v>
      </c>
      <c r="K47" s="10" t="str">
        <f t="shared" si="2"/>
        <v>S1R9B2</v>
      </c>
      <c r="L47" s="10" t="s">
        <v>22</v>
      </c>
      <c r="M47" s="10">
        <f>IF(Table1[[#This Row],[ID ROW]]&lt;=12,Table1[[#This Row],[ID ROW]],Table1[[#This Row],[ID ROW]]+INT((Table1[[#This Row],[ID ROW]]-1)/12)*2)</f>
        <v>9</v>
      </c>
      <c r="N47" s="10" t="str">
        <f t="shared" si="3"/>
        <v>RSR9B2</v>
      </c>
      <c r="O47" s="10">
        <f>IF(Table1[[#This Row],[ID ROW]]&lt;=12,1,INT((Table1[[#This Row],[ID ROW]]-1)/12)+1)</f>
        <v>1</v>
      </c>
      <c r="P47" s="10">
        <f>Table1[[#This Row],[ID ROW]]-((Table1[[#This Row],[SECT]]-1)*12)</f>
        <v>9</v>
      </c>
    </row>
    <row r="48" spans="1:16" ht="15.75" customHeight="1" x14ac:dyDescent="0.25">
      <c r="A48" s="6" t="s">
        <v>209</v>
      </c>
      <c r="B48" s="6" t="s">
        <v>210</v>
      </c>
      <c r="C48" s="6" t="s">
        <v>211</v>
      </c>
      <c r="F48" s="7" t="s">
        <v>208</v>
      </c>
      <c r="G48" s="8">
        <v>47</v>
      </c>
      <c r="H48" s="9" t="s">
        <v>21</v>
      </c>
      <c r="I48" s="9">
        <f t="shared" si="1"/>
        <v>9</v>
      </c>
      <c r="J48" s="9">
        <f t="shared" si="0"/>
        <v>3</v>
      </c>
      <c r="K48" s="10" t="str">
        <f t="shared" si="2"/>
        <v>S1R9B3</v>
      </c>
      <c r="L48" s="10" t="s">
        <v>22</v>
      </c>
      <c r="M48" s="10">
        <f>IF(Table1[[#This Row],[ID ROW]]&lt;=12,Table1[[#This Row],[ID ROW]],Table1[[#This Row],[ID ROW]]+INT((Table1[[#This Row],[ID ROW]]-1)/12)*2)</f>
        <v>9</v>
      </c>
      <c r="N48" s="10" t="str">
        <f t="shared" si="3"/>
        <v>RSR9B3</v>
      </c>
      <c r="O48" s="10">
        <f>IF(Table1[[#This Row],[ID ROW]]&lt;=12,1,INT((Table1[[#This Row],[ID ROW]]-1)/12)+1)</f>
        <v>1</v>
      </c>
      <c r="P48" s="10">
        <f>Table1[[#This Row],[ID ROW]]-((Table1[[#This Row],[SECT]]-1)*12)</f>
        <v>9</v>
      </c>
    </row>
    <row r="49" spans="1:16" ht="15.75" customHeight="1" x14ac:dyDescent="0.3">
      <c r="A49" s="6" t="s">
        <v>212</v>
      </c>
      <c r="B49" s="6" t="s">
        <v>213</v>
      </c>
      <c r="C49" s="6" t="s">
        <v>214</v>
      </c>
      <c r="F49" s="13" t="s">
        <v>215</v>
      </c>
      <c r="G49" s="8">
        <v>48</v>
      </c>
      <c r="H49" s="9" t="s">
        <v>21</v>
      </c>
      <c r="I49" s="9">
        <f t="shared" si="1"/>
        <v>9</v>
      </c>
      <c r="J49" s="9">
        <f t="shared" si="0"/>
        <v>4</v>
      </c>
      <c r="K49" s="10" t="str">
        <f t="shared" si="2"/>
        <v>S1R9B4</v>
      </c>
      <c r="L49" s="10" t="s">
        <v>22</v>
      </c>
      <c r="M49" s="10">
        <f>IF(Table1[[#This Row],[ID ROW]]&lt;=12,Table1[[#This Row],[ID ROW]],Table1[[#This Row],[ID ROW]]+INT((Table1[[#This Row],[ID ROW]]-1)/12)*2)</f>
        <v>9</v>
      </c>
      <c r="N49" s="10" t="str">
        <f t="shared" si="3"/>
        <v>RSR9B4</v>
      </c>
      <c r="O49" s="10">
        <f>IF(Table1[[#This Row],[ID ROW]]&lt;=12,1,INT((Table1[[#This Row],[ID ROW]]-1)/12)+1)</f>
        <v>1</v>
      </c>
      <c r="P49" s="10">
        <f>Table1[[#This Row],[ID ROW]]-((Table1[[#This Row],[SECT]]-1)*12)</f>
        <v>9</v>
      </c>
    </row>
    <row r="50" spans="1:16" ht="15.75" customHeight="1" x14ac:dyDescent="0.25">
      <c r="A50" s="6" t="s">
        <v>216</v>
      </c>
      <c r="B50" s="6" t="s">
        <v>217</v>
      </c>
      <c r="C50" s="6" t="s">
        <v>218</v>
      </c>
      <c r="D50" s="6" t="s">
        <v>219</v>
      </c>
      <c r="F50" s="7" t="s">
        <v>220</v>
      </c>
      <c r="G50" s="8">
        <v>49</v>
      </c>
      <c r="H50" s="9" t="s">
        <v>21</v>
      </c>
      <c r="I50" s="9">
        <f t="shared" si="1"/>
        <v>9</v>
      </c>
      <c r="J50" s="9">
        <f t="shared" si="0"/>
        <v>5</v>
      </c>
      <c r="K50" s="10" t="str">
        <f t="shared" si="2"/>
        <v>S1R9B5</v>
      </c>
      <c r="L50" s="10" t="s">
        <v>22</v>
      </c>
      <c r="M50" s="10">
        <f>IF(Table1[[#This Row],[ID ROW]]&lt;=12,Table1[[#This Row],[ID ROW]],Table1[[#This Row],[ID ROW]]+INT((Table1[[#This Row],[ID ROW]]-1)/12)*2)</f>
        <v>9</v>
      </c>
      <c r="N50" s="10" t="str">
        <f t="shared" si="3"/>
        <v>RSR9B5</v>
      </c>
      <c r="O50" s="10">
        <f>IF(Table1[[#This Row],[ID ROW]]&lt;=12,1,INT((Table1[[#This Row],[ID ROW]]-1)/12)+1)</f>
        <v>1</v>
      </c>
      <c r="P50" s="10">
        <f>Table1[[#This Row],[ID ROW]]-((Table1[[#This Row],[SECT]]-1)*12)</f>
        <v>9</v>
      </c>
    </row>
    <row r="51" spans="1:16" ht="15.75" customHeight="1" x14ac:dyDescent="0.3">
      <c r="A51" s="6" t="s">
        <v>165</v>
      </c>
      <c r="B51" s="6" t="s">
        <v>221</v>
      </c>
      <c r="C51" s="6" t="s">
        <v>222</v>
      </c>
      <c r="D51" s="6" t="s">
        <v>223</v>
      </c>
      <c r="F51" s="13" t="s">
        <v>224</v>
      </c>
      <c r="G51" s="8">
        <v>50</v>
      </c>
      <c r="H51" s="9" t="s">
        <v>21</v>
      </c>
      <c r="I51" s="9">
        <f t="shared" si="1"/>
        <v>9</v>
      </c>
      <c r="J51" s="9">
        <f t="shared" si="0"/>
        <v>6</v>
      </c>
      <c r="K51" s="10" t="str">
        <f t="shared" si="2"/>
        <v>S1R9B6</v>
      </c>
      <c r="L51" s="10" t="s">
        <v>22</v>
      </c>
      <c r="M51" s="10">
        <f>IF(Table1[[#This Row],[ID ROW]]&lt;=12,Table1[[#This Row],[ID ROW]],Table1[[#This Row],[ID ROW]]+INT((Table1[[#This Row],[ID ROW]]-1)/12)*2)</f>
        <v>9</v>
      </c>
      <c r="N51" s="10" t="str">
        <f t="shared" si="3"/>
        <v>RSR9B6</v>
      </c>
      <c r="O51" s="10">
        <f>IF(Table1[[#This Row],[ID ROW]]&lt;=12,1,INT((Table1[[#This Row],[ID ROW]]-1)/12)+1)</f>
        <v>1</v>
      </c>
      <c r="P51" s="10">
        <f>Table1[[#This Row],[ID ROW]]-((Table1[[#This Row],[SECT]]-1)*12)</f>
        <v>9</v>
      </c>
    </row>
    <row r="52" spans="1:16" ht="15.75" customHeight="1" x14ac:dyDescent="0.25">
      <c r="A52" s="6" t="s">
        <v>225</v>
      </c>
      <c r="B52" s="6" t="s">
        <v>226</v>
      </c>
      <c r="C52" s="6" t="s">
        <v>227</v>
      </c>
      <c r="D52" s="6" t="s">
        <v>228</v>
      </c>
      <c r="F52" s="7" t="s">
        <v>229</v>
      </c>
      <c r="G52" s="8">
        <v>51</v>
      </c>
      <c r="H52" s="9" t="s">
        <v>21</v>
      </c>
      <c r="I52" s="9">
        <f t="shared" si="1"/>
        <v>10</v>
      </c>
      <c r="J52" s="9">
        <f t="shared" si="0"/>
        <v>1</v>
      </c>
      <c r="K52" s="10" t="str">
        <f t="shared" si="2"/>
        <v>S1R10B1</v>
      </c>
      <c r="L52" s="10" t="s">
        <v>22</v>
      </c>
      <c r="M52" s="10">
        <f>IF(Table1[[#This Row],[ID ROW]]&lt;=12,Table1[[#This Row],[ID ROW]],Table1[[#This Row],[ID ROW]]+INT((Table1[[#This Row],[ID ROW]]-1)/12)*2)</f>
        <v>10</v>
      </c>
      <c r="N52" s="10" t="str">
        <f t="shared" si="3"/>
        <v>RSR10B1</v>
      </c>
      <c r="O52" s="10">
        <f>IF(Table1[[#This Row],[ID ROW]]&lt;=12,1,INT((Table1[[#This Row],[ID ROW]]-1)/12)+1)</f>
        <v>1</v>
      </c>
      <c r="P52" s="10">
        <f>Table1[[#This Row],[ID ROW]]-((Table1[[#This Row],[SECT]]-1)*12)</f>
        <v>10</v>
      </c>
    </row>
    <row r="53" spans="1:16" ht="15.75" customHeight="1" x14ac:dyDescent="0.3">
      <c r="A53" s="6" t="s">
        <v>230</v>
      </c>
      <c r="B53" s="6" t="s">
        <v>165</v>
      </c>
      <c r="C53" s="6" t="s">
        <v>231</v>
      </c>
      <c r="D53" s="6" t="s">
        <v>232</v>
      </c>
      <c r="F53" s="13" t="s">
        <v>233</v>
      </c>
      <c r="G53" s="8">
        <v>52</v>
      </c>
      <c r="H53" s="9" t="s">
        <v>21</v>
      </c>
      <c r="I53" s="9">
        <f t="shared" si="1"/>
        <v>10</v>
      </c>
      <c r="J53" s="9">
        <f t="shared" si="0"/>
        <v>2</v>
      </c>
      <c r="K53" s="10" t="str">
        <f t="shared" si="2"/>
        <v>S1R10B2</v>
      </c>
      <c r="L53" s="10" t="s">
        <v>22</v>
      </c>
      <c r="M53" s="10">
        <f>IF(Table1[[#This Row],[ID ROW]]&lt;=12,Table1[[#This Row],[ID ROW]],Table1[[#This Row],[ID ROW]]+INT((Table1[[#This Row],[ID ROW]]-1)/12)*2)</f>
        <v>10</v>
      </c>
      <c r="N53" s="10" t="str">
        <f t="shared" si="3"/>
        <v>RSR10B2</v>
      </c>
      <c r="O53" s="10">
        <f>IF(Table1[[#This Row],[ID ROW]]&lt;=12,1,INT((Table1[[#This Row],[ID ROW]]-1)/12)+1)</f>
        <v>1</v>
      </c>
      <c r="P53" s="10">
        <f>Table1[[#This Row],[ID ROW]]-((Table1[[#This Row],[SECT]]-1)*12)</f>
        <v>10</v>
      </c>
    </row>
    <row r="54" spans="1:16" ht="15.75" customHeight="1" x14ac:dyDescent="0.25">
      <c r="A54" s="6" t="s">
        <v>230</v>
      </c>
      <c r="B54" s="6" t="s">
        <v>234</v>
      </c>
      <c r="C54" s="6" t="s">
        <v>235</v>
      </c>
      <c r="F54" s="7" t="s">
        <v>233</v>
      </c>
      <c r="G54" s="8">
        <v>53</v>
      </c>
      <c r="H54" s="9" t="s">
        <v>21</v>
      </c>
      <c r="I54" s="9">
        <f t="shared" si="1"/>
        <v>10</v>
      </c>
      <c r="J54" s="9">
        <f t="shared" si="0"/>
        <v>3</v>
      </c>
      <c r="K54" s="10" t="str">
        <f t="shared" si="2"/>
        <v>S1R10B3</v>
      </c>
      <c r="L54" s="10" t="s">
        <v>22</v>
      </c>
      <c r="M54" s="10">
        <f>IF(Table1[[#This Row],[ID ROW]]&lt;=12,Table1[[#This Row],[ID ROW]],Table1[[#This Row],[ID ROW]]+INT((Table1[[#This Row],[ID ROW]]-1)/12)*2)</f>
        <v>10</v>
      </c>
      <c r="N54" s="10" t="str">
        <f t="shared" si="3"/>
        <v>RSR10B3</v>
      </c>
      <c r="O54" s="10">
        <f>IF(Table1[[#This Row],[ID ROW]]&lt;=12,1,INT((Table1[[#This Row],[ID ROW]]-1)/12)+1)</f>
        <v>1</v>
      </c>
      <c r="P54" s="10">
        <f>Table1[[#This Row],[ID ROW]]-((Table1[[#This Row],[SECT]]-1)*12)</f>
        <v>10</v>
      </c>
    </row>
    <row r="55" spans="1:16" ht="15.75" customHeight="1" x14ac:dyDescent="0.3">
      <c r="A55" s="6" t="s">
        <v>236</v>
      </c>
      <c r="B55" s="6" t="s">
        <v>237</v>
      </c>
      <c r="F55" s="13" t="s">
        <v>238</v>
      </c>
      <c r="G55" s="8">
        <v>54</v>
      </c>
      <c r="H55" s="9" t="s">
        <v>21</v>
      </c>
      <c r="I55" s="9">
        <f t="shared" si="1"/>
        <v>10</v>
      </c>
      <c r="J55" s="9">
        <f t="shared" si="0"/>
        <v>4</v>
      </c>
      <c r="K55" s="10" t="str">
        <f t="shared" si="2"/>
        <v>S1R10B4</v>
      </c>
      <c r="L55" s="10" t="s">
        <v>22</v>
      </c>
      <c r="M55" s="10">
        <f>IF(Table1[[#This Row],[ID ROW]]&lt;=12,Table1[[#This Row],[ID ROW]],Table1[[#This Row],[ID ROW]]+INT((Table1[[#This Row],[ID ROW]]-1)/12)*2)</f>
        <v>10</v>
      </c>
      <c r="N55" s="10" t="str">
        <f t="shared" si="3"/>
        <v>RSR10B4</v>
      </c>
      <c r="O55" s="10">
        <f>IF(Table1[[#This Row],[ID ROW]]&lt;=12,1,INT((Table1[[#This Row],[ID ROW]]-1)/12)+1)</f>
        <v>1</v>
      </c>
      <c r="P55" s="10">
        <f>Table1[[#This Row],[ID ROW]]-((Table1[[#This Row],[SECT]]-1)*12)</f>
        <v>10</v>
      </c>
    </row>
    <row r="56" spans="1:16" ht="15.75" customHeight="1" x14ac:dyDescent="0.25">
      <c r="A56" s="6" t="s">
        <v>157</v>
      </c>
      <c r="B56" s="6" t="s">
        <v>239</v>
      </c>
      <c r="C56" s="6" t="s">
        <v>240</v>
      </c>
      <c r="D56" s="6" t="s">
        <v>241</v>
      </c>
      <c r="F56" s="7" t="s">
        <v>242</v>
      </c>
      <c r="G56" s="8">
        <v>55</v>
      </c>
      <c r="H56" s="9" t="s">
        <v>21</v>
      </c>
      <c r="I56" s="9">
        <f t="shared" si="1"/>
        <v>10</v>
      </c>
      <c r="J56" s="9">
        <f t="shared" si="0"/>
        <v>5</v>
      </c>
      <c r="K56" s="10" t="str">
        <f t="shared" si="2"/>
        <v>S1R10B5</v>
      </c>
      <c r="L56" s="10" t="s">
        <v>22</v>
      </c>
      <c r="M56" s="10">
        <f>IF(Table1[[#This Row],[ID ROW]]&lt;=12,Table1[[#This Row],[ID ROW]],Table1[[#This Row],[ID ROW]]+INT((Table1[[#This Row],[ID ROW]]-1)/12)*2)</f>
        <v>10</v>
      </c>
      <c r="N56" s="10" t="str">
        <f t="shared" si="3"/>
        <v>RSR10B5</v>
      </c>
      <c r="O56" s="10">
        <f>IF(Table1[[#This Row],[ID ROW]]&lt;=12,1,INT((Table1[[#This Row],[ID ROW]]-1)/12)+1)</f>
        <v>1</v>
      </c>
      <c r="P56" s="10">
        <f>Table1[[#This Row],[ID ROW]]-((Table1[[#This Row],[SECT]]-1)*12)</f>
        <v>10</v>
      </c>
    </row>
    <row r="57" spans="1:16" ht="15.75" customHeight="1" x14ac:dyDescent="0.3">
      <c r="A57" s="6" t="s">
        <v>243</v>
      </c>
      <c r="B57" s="6" t="s">
        <v>244</v>
      </c>
      <c r="C57" s="6" t="s">
        <v>245</v>
      </c>
      <c r="F57" s="13" t="s">
        <v>246</v>
      </c>
      <c r="G57" s="8">
        <v>56</v>
      </c>
      <c r="H57" s="9" t="s">
        <v>21</v>
      </c>
      <c r="I57" s="9">
        <f t="shared" si="1"/>
        <v>11</v>
      </c>
      <c r="J57" s="9">
        <f t="shared" si="0"/>
        <v>1</v>
      </c>
      <c r="K57" s="10" t="str">
        <f t="shared" si="2"/>
        <v>S1R11B1</v>
      </c>
      <c r="L57" s="10" t="s">
        <v>22</v>
      </c>
      <c r="M57" s="10">
        <f>IF(Table1[[#This Row],[ID ROW]]&lt;=12,Table1[[#This Row],[ID ROW]],Table1[[#This Row],[ID ROW]]+INT((Table1[[#This Row],[ID ROW]]-1)/12)*2)</f>
        <v>11</v>
      </c>
      <c r="N57" s="10" t="str">
        <f t="shared" si="3"/>
        <v>RSR11B1</v>
      </c>
      <c r="O57" s="10">
        <f>IF(Table1[[#This Row],[ID ROW]]&lt;=12,1,INT((Table1[[#This Row],[ID ROW]]-1)/12)+1)</f>
        <v>1</v>
      </c>
      <c r="P57" s="10">
        <f>Table1[[#This Row],[ID ROW]]-((Table1[[#This Row],[SECT]]-1)*12)</f>
        <v>11</v>
      </c>
    </row>
    <row r="58" spans="1:16" ht="15.75" customHeight="1" x14ac:dyDescent="0.25">
      <c r="A58" s="6" t="s">
        <v>165</v>
      </c>
      <c r="B58" s="6" t="s">
        <v>247</v>
      </c>
      <c r="C58" s="6" t="s">
        <v>120</v>
      </c>
      <c r="D58" s="6" t="s">
        <v>248</v>
      </c>
      <c r="F58" s="7" t="s">
        <v>249</v>
      </c>
      <c r="G58" s="8">
        <v>57</v>
      </c>
      <c r="H58" s="9" t="s">
        <v>21</v>
      </c>
      <c r="I58" s="9">
        <f t="shared" si="1"/>
        <v>11</v>
      </c>
      <c r="J58" s="9">
        <f t="shared" si="0"/>
        <v>2</v>
      </c>
      <c r="K58" s="10" t="str">
        <f t="shared" si="2"/>
        <v>S1R11B2</v>
      </c>
      <c r="L58" s="10" t="s">
        <v>22</v>
      </c>
      <c r="M58" s="10">
        <f>IF(Table1[[#This Row],[ID ROW]]&lt;=12,Table1[[#This Row],[ID ROW]],Table1[[#This Row],[ID ROW]]+INT((Table1[[#This Row],[ID ROW]]-1)/12)*2)</f>
        <v>11</v>
      </c>
      <c r="N58" s="10" t="str">
        <f t="shared" si="3"/>
        <v>RSR11B2</v>
      </c>
      <c r="O58" s="10">
        <f>IF(Table1[[#This Row],[ID ROW]]&lt;=12,1,INT((Table1[[#This Row],[ID ROW]]-1)/12)+1)</f>
        <v>1</v>
      </c>
      <c r="P58" s="10">
        <f>Table1[[#This Row],[ID ROW]]-((Table1[[#This Row],[SECT]]-1)*12)</f>
        <v>11</v>
      </c>
    </row>
    <row r="59" spans="1:16" ht="15.75" customHeight="1" x14ac:dyDescent="0.3">
      <c r="A59" s="6" t="s">
        <v>213</v>
      </c>
      <c r="B59" s="6" t="s">
        <v>250</v>
      </c>
      <c r="D59" s="6" t="s">
        <v>251</v>
      </c>
      <c r="F59" s="13" t="s">
        <v>252</v>
      </c>
      <c r="G59" s="8">
        <v>58</v>
      </c>
      <c r="H59" s="9" t="s">
        <v>21</v>
      </c>
      <c r="I59" s="9">
        <f t="shared" si="1"/>
        <v>11</v>
      </c>
      <c r="J59" s="9">
        <f t="shared" si="0"/>
        <v>3</v>
      </c>
      <c r="K59" s="10" t="str">
        <f t="shared" si="2"/>
        <v>S1R11B3</v>
      </c>
      <c r="L59" s="10" t="s">
        <v>22</v>
      </c>
      <c r="M59" s="10">
        <f>IF(Table1[[#This Row],[ID ROW]]&lt;=12,Table1[[#This Row],[ID ROW]],Table1[[#This Row],[ID ROW]]+INT((Table1[[#This Row],[ID ROW]]-1)/12)*2)</f>
        <v>11</v>
      </c>
      <c r="N59" s="10" t="str">
        <f t="shared" si="3"/>
        <v>RSR11B3</v>
      </c>
      <c r="O59" s="10">
        <f>IF(Table1[[#This Row],[ID ROW]]&lt;=12,1,INT((Table1[[#This Row],[ID ROW]]-1)/12)+1)</f>
        <v>1</v>
      </c>
      <c r="P59" s="10">
        <f>Table1[[#This Row],[ID ROW]]-((Table1[[#This Row],[SECT]]-1)*12)</f>
        <v>11</v>
      </c>
    </row>
    <row r="60" spans="1:16" ht="15.75" customHeight="1" x14ac:dyDescent="0.25">
      <c r="A60" s="6" t="s">
        <v>253</v>
      </c>
      <c r="B60" s="6" t="s">
        <v>254</v>
      </c>
      <c r="C60" s="6" t="s">
        <v>255</v>
      </c>
      <c r="D60" s="6" t="s">
        <v>256</v>
      </c>
      <c r="F60" s="7" t="s">
        <v>257</v>
      </c>
      <c r="G60" s="8">
        <v>59</v>
      </c>
      <c r="H60" s="9" t="s">
        <v>21</v>
      </c>
      <c r="I60" s="9">
        <f t="shared" si="1"/>
        <v>11</v>
      </c>
      <c r="J60" s="9">
        <f t="shared" si="0"/>
        <v>4</v>
      </c>
      <c r="K60" s="10" t="str">
        <f t="shared" si="2"/>
        <v>S1R11B4</v>
      </c>
      <c r="L60" s="10" t="s">
        <v>22</v>
      </c>
      <c r="M60" s="10">
        <f>IF(Table1[[#This Row],[ID ROW]]&lt;=12,Table1[[#This Row],[ID ROW]],Table1[[#This Row],[ID ROW]]+INT((Table1[[#This Row],[ID ROW]]-1)/12)*2)</f>
        <v>11</v>
      </c>
      <c r="N60" s="10" t="str">
        <f t="shared" si="3"/>
        <v>RSR11B4</v>
      </c>
      <c r="O60" s="10">
        <f>IF(Table1[[#This Row],[ID ROW]]&lt;=12,1,INT((Table1[[#This Row],[ID ROW]]-1)/12)+1)</f>
        <v>1</v>
      </c>
      <c r="P60" s="10">
        <f>Table1[[#This Row],[ID ROW]]-((Table1[[#This Row],[SECT]]-1)*12)</f>
        <v>11</v>
      </c>
    </row>
    <row r="61" spans="1:16" ht="15.75" customHeight="1" x14ac:dyDescent="0.3">
      <c r="A61" s="6" t="s">
        <v>258</v>
      </c>
      <c r="B61" s="6" t="s">
        <v>150</v>
      </c>
      <c r="C61" s="6" t="s">
        <v>259</v>
      </c>
      <c r="F61" s="13" t="s">
        <v>260</v>
      </c>
      <c r="G61" s="8">
        <v>60</v>
      </c>
      <c r="H61" s="9" t="s">
        <v>21</v>
      </c>
      <c r="I61" s="9">
        <f t="shared" si="1"/>
        <v>11</v>
      </c>
      <c r="J61" s="9">
        <f t="shared" si="0"/>
        <v>5</v>
      </c>
      <c r="K61" s="10" t="str">
        <f t="shared" si="2"/>
        <v>S1R11B5</v>
      </c>
      <c r="L61" s="10" t="s">
        <v>22</v>
      </c>
      <c r="M61" s="10">
        <f>IF(Table1[[#This Row],[ID ROW]]&lt;=12,Table1[[#This Row],[ID ROW]],Table1[[#This Row],[ID ROW]]+INT((Table1[[#This Row],[ID ROW]]-1)/12)*2)</f>
        <v>11</v>
      </c>
      <c r="N61" s="10" t="str">
        <f t="shared" si="3"/>
        <v>RSR11B5</v>
      </c>
      <c r="O61" s="10">
        <f>IF(Table1[[#This Row],[ID ROW]]&lt;=12,1,INT((Table1[[#This Row],[ID ROW]]-1)/12)+1)</f>
        <v>1</v>
      </c>
      <c r="P61" s="10">
        <f>Table1[[#This Row],[ID ROW]]-((Table1[[#This Row],[SECT]]-1)*12)</f>
        <v>11</v>
      </c>
    </row>
    <row r="62" spans="1:16" ht="15.75" customHeight="1" x14ac:dyDescent="0.25">
      <c r="A62" s="6" t="s">
        <v>261</v>
      </c>
      <c r="B62" s="6" t="s">
        <v>262</v>
      </c>
      <c r="C62" s="6" t="s">
        <v>263</v>
      </c>
      <c r="D62" s="6" t="s">
        <v>264</v>
      </c>
      <c r="F62" s="7" t="s">
        <v>265</v>
      </c>
      <c r="G62" s="8">
        <v>61</v>
      </c>
      <c r="H62" s="9" t="s">
        <v>21</v>
      </c>
      <c r="I62" s="9">
        <f t="shared" si="1"/>
        <v>11</v>
      </c>
      <c r="J62" s="9">
        <f t="shared" si="0"/>
        <v>6</v>
      </c>
      <c r="K62" s="10" t="str">
        <f t="shared" si="2"/>
        <v>S1R11B6</v>
      </c>
      <c r="L62" s="10" t="s">
        <v>22</v>
      </c>
      <c r="M62" s="10">
        <f>IF(Table1[[#This Row],[ID ROW]]&lt;=12,Table1[[#This Row],[ID ROW]],Table1[[#This Row],[ID ROW]]+INT((Table1[[#This Row],[ID ROW]]-1)/12)*2)</f>
        <v>11</v>
      </c>
      <c r="N62" s="10" t="str">
        <f t="shared" si="3"/>
        <v>RSR11B6</v>
      </c>
      <c r="O62" s="10">
        <f>IF(Table1[[#This Row],[ID ROW]]&lt;=12,1,INT((Table1[[#This Row],[ID ROW]]-1)/12)+1)</f>
        <v>1</v>
      </c>
      <c r="P62" s="10">
        <f>Table1[[#This Row],[ID ROW]]-((Table1[[#This Row],[SECT]]-1)*12)</f>
        <v>11</v>
      </c>
    </row>
    <row r="63" spans="1:16" ht="15.75" customHeight="1" x14ac:dyDescent="0.3">
      <c r="A63" s="6" t="s">
        <v>266</v>
      </c>
      <c r="B63" s="6" t="s">
        <v>267</v>
      </c>
      <c r="C63" s="6" t="s">
        <v>268</v>
      </c>
      <c r="F63" s="13" t="s">
        <v>269</v>
      </c>
      <c r="G63" s="8">
        <v>62</v>
      </c>
      <c r="H63" s="9" t="s">
        <v>21</v>
      </c>
      <c r="I63" s="9">
        <f t="shared" si="1"/>
        <v>12</v>
      </c>
      <c r="J63" s="9">
        <f t="shared" si="0"/>
        <v>1</v>
      </c>
      <c r="K63" s="10" t="str">
        <f t="shared" si="2"/>
        <v>S1R12B1</v>
      </c>
      <c r="L63" s="10" t="s">
        <v>22</v>
      </c>
      <c r="M63" s="10">
        <f>IF(Table1[[#This Row],[ID ROW]]&lt;=12,Table1[[#This Row],[ID ROW]],Table1[[#This Row],[ID ROW]]+INT((Table1[[#This Row],[ID ROW]]-1)/12)*2)</f>
        <v>12</v>
      </c>
      <c r="N63" s="10" t="str">
        <f t="shared" si="3"/>
        <v>RSR12B1</v>
      </c>
      <c r="O63" s="10">
        <f>IF(Table1[[#This Row],[ID ROW]]&lt;=12,1,INT((Table1[[#This Row],[ID ROW]]-1)/12)+1)</f>
        <v>1</v>
      </c>
      <c r="P63" s="10">
        <f>Table1[[#This Row],[ID ROW]]-((Table1[[#This Row],[SECT]]-1)*12)</f>
        <v>12</v>
      </c>
    </row>
    <row r="64" spans="1:16" ht="15.75" customHeight="1" x14ac:dyDescent="0.25">
      <c r="A64" s="6" t="s">
        <v>165</v>
      </c>
      <c r="B64" s="6" t="s">
        <v>270</v>
      </c>
      <c r="C64" s="6" t="s">
        <v>271</v>
      </c>
      <c r="D64" s="6" t="s">
        <v>272</v>
      </c>
      <c r="F64" s="7" t="s">
        <v>269</v>
      </c>
      <c r="G64" s="8">
        <v>63</v>
      </c>
      <c r="H64" s="9" t="s">
        <v>21</v>
      </c>
      <c r="I64" s="9">
        <f t="shared" si="1"/>
        <v>12</v>
      </c>
      <c r="J64" s="9">
        <f t="shared" si="0"/>
        <v>2</v>
      </c>
      <c r="K64" s="10" t="str">
        <f t="shared" si="2"/>
        <v>S1R12B2</v>
      </c>
      <c r="L64" s="10" t="s">
        <v>22</v>
      </c>
      <c r="M64" s="10">
        <f>IF(Table1[[#This Row],[ID ROW]]&lt;=12,Table1[[#This Row],[ID ROW]],Table1[[#This Row],[ID ROW]]+INT((Table1[[#This Row],[ID ROW]]-1)/12)*2)</f>
        <v>12</v>
      </c>
      <c r="N64" s="10" t="str">
        <f t="shared" si="3"/>
        <v>RSR12B2</v>
      </c>
      <c r="O64" s="10">
        <f>IF(Table1[[#This Row],[ID ROW]]&lt;=12,1,INT((Table1[[#This Row],[ID ROW]]-1)/12)+1)</f>
        <v>1</v>
      </c>
      <c r="P64" s="10">
        <f>Table1[[#This Row],[ID ROW]]-((Table1[[#This Row],[SECT]]-1)*12)</f>
        <v>12</v>
      </c>
    </row>
    <row r="65" spans="1:16" ht="15.75" customHeight="1" x14ac:dyDescent="0.3">
      <c r="A65" s="6" t="s">
        <v>273</v>
      </c>
      <c r="B65" s="6" t="s">
        <v>274</v>
      </c>
      <c r="C65" s="6" t="s">
        <v>275</v>
      </c>
      <c r="F65" s="13" t="s">
        <v>269</v>
      </c>
      <c r="G65" s="8">
        <v>64</v>
      </c>
      <c r="H65" s="9" t="s">
        <v>21</v>
      </c>
      <c r="I65" s="9">
        <f t="shared" si="1"/>
        <v>12</v>
      </c>
      <c r="J65" s="9">
        <f t="shared" si="0"/>
        <v>3</v>
      </c>
      <c r="K65" s="10" t="str">
        <f t="shared" si="2"/>
        <v>S1R12B3</v>
      </c>
      <c r="L65" s="10" t="s">
        <v>22</v>
      </c>
      <c r="M65" s="10">
        <f>IF(Table1[[#This Row],[ID ROW]]&lt;=12,Table1[[#This Row],[ID ROW]],Table1[[#This Row],[ID ROW]]+INT((Table1[[#This Row],[ID ROW]]-1)/12)*2)</f>
        <v>12</v>
      </c>
      <c r="N65" s="10" t="str">
        <f t="shared" si="3"/>
        <v>RSR12B3</v>
      </c>
      <c r="O65" s="10">
        <f>IF(Table1[[#This Row],[ID ROW]]&lt;=12,1,INT((Table1[[#This Row],[ID ROW]]-1)/12)+1)</f>
        <v>1</v>
      </c>
      <c r="P65" s="10">
        <f>Table1[[#This Row],[ID ROW]]-((Table1[[#This Row],[SECT]]-1)*12)</f>
        <v>12</v>
      </c>
    </row>
    <row r="66" spans="1:16" ht="15.75" customHeight="1" x14ac:dyDescent="0.25">
      <c r="A66" s="6" t="s">
        <v>234</v>
      </c>
      <c r="B66" s="6" t="s">
        <v>235</v>
      </c>
      <c r="C66" s="6" t="s">
        <v>276</v>
      </c>
      <c r="F66" s="7" t="s">
        <v>277</v>
      </c>
      <c r="G66" s="8">
        <v>65</v>
      </c>
      <c r="H66" s="9" t="s">
        <v>21</v>
      </c>
      <c r="I66" s="9">
        <f t="shared" si="1"/>
        <v>12</v>
      </c>
      <c r="J66" s="9">
        <f t="shared" ref="J66:J129" si="4">IF(MOD(G66-1,11)&lt;6,(MOD(G66-1,11)+1-(5*FLOOR(MOD(G66-1,11),6))),(MOD(G66-1,11))-5)</f>
        <v>4</v>
      </c>
      <c r="K66" s="10" t="str">
        <f t="shared" si="2"/>
        <v>S1R12B4</v>
      </c>
      <c r="L66" s="10" t="s">
        <v>22</v>
      </c>
      <c r="M66" s="10">
        <f>IF(Table1[[#This Row],[ID ROW]]&lt;=12,Table1[[#This Row],[ID ROW]],Table1[[#This Row],[ID ROW]]+INT((Table1[[#This Row],[ID ROW]]-1)/12)*2)</f>
        <v>12</v>
      </c>
      <c r="N66" s="10" t="str">
        <f t="shared" si="3"/>
        <v>RSR12B4</v>
      </c>
      <c r="O66" s="10">
        <f>IF(Table1[[#This Row],[ID ROW]]&lt;=12,1,INT((Table1[[#This Row],[ID ROW]]-1)/12)+1)</f>
        <v>1</v>
      </c>
      <c r="P66" s="10">
        <f>Table1[[#This Row],[ID ROW]]-((Table1[[#This Row],[SECT]]-1)*12)</f>
        <v>12</v>
      </c>
    </row>
    <row r="67" spans="1:16" ht="15.75" customHeight="1" x14ac:dyDescent="0.3">
      <c r="A67" s="6" t="s">
        <v>278</v>
      </c>
      <c r="B67" s="6" t="s">
        <v>279</v>
      </c>
      <c r="C67" s="6" t="s">
        <v>280</v>
      </c>
      <c r="D67" s="6" t="s">
        <v>281</v>
      </c>
      <c r="F67" s="13" t="s">
        <v>282</v>
      </c>
      <c r="G67" s="8">
        <v>66</v>
      </c>
      <c r="H67" s="9" t="s">
        <v>21</v>
      </c>
      <c r="I67" s="9">
        <f t="shared" ref="I67:I130" si="5">INT((G67-1)/11)*2 + IF(MOD(G67-1, 11) &lt; 6, 1, 2)</f>
        <v>12</v>
      </c>
      <c r="J67" s="9">
        <f t="shared" si="4"/>
        <v>5</v>
      </c>
      <c r="K67" s="10" t="str">
        <f t="shared" ref="K67:K130" si="6">H67&amp;"R"&amp;I67&amp;"B"&amp;J67</f>
        <v>S1R12B5</v>
      </c>
      <c r="L67" s="10" t="s">
        <v>22</v>
      </c>
      <c r="M67" s="10">
        <f>IF(Table1[[#This Row],[ID ROW]]&lt;=12,Table1[[#This Row],[ID ROW]],Table1[[#This Row],[ID ROW]]+INT((Table1[[#This Row],[ID ROW]]-1)/12)*2)</f>
        <v>12</v>
      </c>
      <c r="N67" s="10" t="str">
        <f t="shared" ref="N67:N130" si="7">L67&amp;"R"&amp;M67&amp;"B"&amp;J67</f>
        <v>RSR12B5</v>
      </c>
      <c r="O67" s="10">
        <f>IF(Table1[[#This Row],[ID ROW]]&lt;=12,1,INT((Table1[[#This Row],[ID ROW]]-1)/12)+1)</f>
        <v>1</v>
      </c>
      <c r="P67" s="10">
        <f>Table1[[#This Row],[ID ROW]]-((Table1[[#This Row],[SECT]]-1)*12)</f>
        <v>12</v>
      </c>
    </row>
    <row r="68" spans="1:16" ht="15.75" customHeight="1" x14ac:dyDescent="0.25">
      <c r="A68" s="6" t="s">
        <v>283</v>
      </c>
      <c r="B68" s="6" t="s">
        <v>284</v>
      </c>
      <c r="C68" s="6" t="s">
        <v>285</v>
      </c>
      <c r="F68" s="7" t="s">
        <v>286</v>
      </c>
      <c r="G68" s="8">
        <v>67</v>
      </c>
      <c r="H68" s="9" t="s">
        <v>21</v>
      </c>
      <c r="I68" s="9">
        <f t="shared" si="5"/>
        <v>13</v>
      </c>
      <c r="J68" s="9">
        <f t="shared" si="4"/>
        <v>1</v>
      </c>
      <c r="K68" s="10" t="str">
        <f t="shared" si="6"/>
        <v>S1R13B1</v>
      </c>
      <c r="L68" s="10" t="s">
        <v>22</v>
      </c>
      <c r="M68" s="10">
        <f>IF(Table1[[#This Row],[ID ROW]]&lt;=12,Table1[[#This Row],[ID ROW]],Table1[[#This Row],[ID ROW]]+INT((Table1[[#This Row],[ID ROW]]-1)/12)*2)</f>
        <v>15</v>
      </c>
      <c r="N68" s="10" t="str">
        <f t="shared" si="7"/>
        <v>RSR15B1</v>
      </c>
      <c r="O68" s="10">
        <f>IF(Table1[[#This Row],[ID ROW]]&lt;=12,1,INT((Table1[[#This Row],[ID ROW]]-1)/12)+1)</f>
        <v>2</v>
      </c>
      <c r="P68" s="10">
        <f>Table1[[#This Row],[ID ROW]]-((Table1[[#This Row],[SECT]]-1)*12)</f>
        <v>1</v>
      </c>
    </row>
    <row r="69" spans="1:16" ht="15.75" customHeight="1" x14ac:dyDescent="0.3">
      <c r="A69" s="6" t="s">
        <v>287</v>
      </c>
      <c r="B69" s="6" t="s">
        <v>288</v>
      </c>
      <c r="C69" s="6" t="s">
        <v>285</v>
      </c>
      <c r="F69" s="13" t="s">
        <v>289</v>
      </c>
      <c r="G69" s="8">
        <v>68</v>
      </c>
      <c r="H69" s="9" t="s">
        <v>21</v>
      </c>
      <c r="I69" s="9">
        <f t="shared" si="5"/>
        <v>13</v>
      </c>
      <c r="J69" s="9">
        <f t="shared" si="4"/>
        <v>2</v>
      </c>
      <c r="K69" s="10" t="str">
        <f t="shared" si="6"/>
        <v>S1R13B2</v>
      </c>
      <c r="L69" s="10" t="s">
        <v>22</v>
      </c>
      <c r="M69" s="10">
        <f>IF(Table1[[#This Row],[ID ROW]]&lt;=12,Table1[[#This Row],[ID ROW]],Table1[[#This Row],[ID ROW]]+INT((Table1[[#This Row],[ID ROW]]-1)/12)*2)</f>
        <v>15</v>
      </c>
      <c r="N69" s="10" t="str">
        <f t="shared" si="7"/>
        <v>RSR15B2</v>
      </c>
      <c r="O69" s="10">
        <f>IF(Table1[[#This Row],[ID ROW]]&lt;=12,1,INT((Table1[[#This Row],[ID ROW]]-1)/12)+1)</f>
        <v>2</v>
      </c>
      <c r="P69" s="10">
        <f>Table1[[#This Row],[ID ROW]]-((Table1[[#This Row],[SECT]]-1)*12)</f>
        <v>1</v>
      </c>
    </row>
    <row r="70" spans="1:16" ht="15.75" customHeight="1" x14ac:dyDescent="0.25">
      <c r="A70" s="6" t="s">
        <v>290</v>
      </c>
      <c r="B70" s="6" t="s">
        <v>291</v>
      </c>
      <c r="C70" s="6" t="s">
        <v>292</v>
      </c>
      <c r="F70" s="7" t="s">
        <v>289</v>
      </c>
      <c r="G70" s="8">
        <v>69</v>
      </c>
      <c r="H70" s="9" t="s">
        <v>21</v>
      </c>
      <c r="I70" s="9">
        <f t="shared" si="5"/>
        <v>13</v>
      </c>
      <c r="J70" s="9">
        <f t="shared" si="4"/>
        <v>3</v>
      </c>
      <c r="K70" s="10" t="str">
        <f t="shared" si="6"/>
        <v>S1R13B3</v>
      </c>
      <c r="L70" s="10" t="s">
        <v>22</v>
      </c>
      <c r="M70" s="10">
        <f>IF(Table1[[#This Row],[ID ROW]]&lt;=12,Table1[[#This Row],[ID ROW]],Table1[[#This Row],[ID ROW]]+INT((Table1[[#This Row],[ID ROW]]-1)/12)*2)</f>
        <v>15</v>
      </c>
      <c r="N70" s="10" t="str">
        <f t="shared" si="7"/>
        <v>RSR15B3</v>
      </c>
      <c r="O70" s="10">
        <f>IF(Table1[[#This Row],[ID ROW]]&lt;=12,1,INT((Table1[[#This Row],[ID ROW]]-1)/12)+1)</f>
        <v>2</v>
      </c>
      <c r="P70" s="10">
        <f>Table1[[#This Row],[ID ROW]]-((Table1[[#This Row],[SECT]]-1)*12)</f>
        <v>1</v>
      </c>
    </row>
    <row r="71" spans="1:16" ht="15.75" customHeight="1" x14ac:dyDescent="0.3">
      <c r="A71" s="6" t="s">
        <v>293</v>
      </c>
      <c r="B71" s="6" t="s">
        <v>294</v>
      </c>
      <c r="C71" s="6" t="s">
        <v>295</v>
      </c>
      <c r="D71" s="6" t="s">
        <v>296</v>
      </c>
      <c r="F71" s="13" t="s">
        <v>297</v>
      </c>
      <c r="G71" s="8">
        <v>70</v>
      </c>
      <c r="H71" s="9" t="s">
        <v>21</v>
      </c>
      <c r="I71" s="9">
        <f t="shared" si="5"/>
        <v>13</v>
      </c>
      <c r="J71" s="9">
        <f t="shared" si="4"/>
        <v>4</v>
      </c>
      <c r="K71" s="10" t="str">
        <f t="shared" si="6"/>
        <v>S1R13B4</v>
      </c>
      <c r="L71" s="10" t="s">
        <v>22</v>
      </c>
      <c r="M71" s="10">
        <f>IF(Table1[[#This Row],[ID ROW]]&lt;=12,Table1[[#This Row],[ID ROW]],Table1[[#This Row],[ID ROW]]+INT((Table1[[#This Row],[ID ROW]]-1)/12)*2)</f>
        <v>15</v>
      </c>
      <c r="N71" s="10" t="str">
        <f t="shared" si="7"/>
        <v>RSR15B4</v>
      </c>
      <c r="O71" s="10">
        <f>IF(Table1[[#This Row],[ID ROW]]&lt;=12,1,INT((Table1[[#This Row],[ID ROW]]-1)/12)+1)</f>
        <v>2</v>
      </c>
      <c r="P71" s="10">
        <f>Table1[[#This Row],[ID ROW]]-((Table1[[#This Row],[SECT]]-1)*12)</f>
        <v>1</v>
      </c>
    </row>
    <row r="72" spans="1:16" ht="15.75" customHeight="1" x14ac:dyDescent="0.25">
      <c r="A72" s="6" t="s">
        <v>298</v>
      </c>
      <c r="B72" s="6" t="s">
        <v>150</v>
      </c>
      <c r="C72" s="6" t="s">
        <v>299</v>
      </c>
      <c r="D72" s="6" t="s">
        <v>300</v>
      </c>
      <c r="F72" s="7" t="s">
        <v>301</v>
      </c>
      <c r="G72" s="8">
        <v>71</v>
      </c>
      <c r="H72" s="9" t="s">
        <v>21</v>
      </c>
      <c r="I72" s="9">
        <f t="shared" si="5"/>
        <v>13</v>
      </c>
      <c r="J72" s="9">
        <f t="shared" si="4"/>
        <v>5</v>
      </c>
      <c r="K72" s="10" t="str">
        <f t="shared" si="6"/>
        <v>S1R13B5</v>
      </c>
      <c r="L72" s="10" t="s">
        <v>22</v>
      </c>
      <c r="M72" s="10">
        <f>IF(Table1[[#This Row],[ID ROW]]&lt;=12,Table1[[#This Row],[ID ROW]],Table1[[#This Row],[ID ROW]]+INT((Table1[[#This Row],[ID ROW]]-1)/12)*2)</f>
        <v>15</v>
      </c>
      <c r="N72" s="10" t="str">
        <f t="shared" si="7"/>
        <v>RSR15B5</v>
      </c>
      <c r="O72" s="10">
        <f>IF(Table1[[#This Row],[ID ROW]]&lt;=12,1,INT((Table1[[#This Row],[ID ROW]]-1)/12)+1)</f>
        <v>2</v>
      </c>
      <c r="P72" s="10">
        <f>Table1[[#This Row],[ID ROW]]-((Table1[[#This Row],[SECT]]-1)*12)</f>
        <v>1</v>
      </c>
    </row>
    <row r="73" spans="1:16" ht="15.75" customHeight="1" x14ac:dyDescent="0.3">
      <c r="A73" s="6" t="s">
        <v>302</v>
      </c>
      <c r="B73" s="6" t="s">
        <v>303</v>
      </c>
      <c r="C73" s="6" t="s">
        <v>67</v>
      </c>
      <c r="F73" s="13" t="s">
        <v>304</v>
      </c>
      <c r="G73" s="8">
        <v>72</v>
      </c>
      <c r="H73" s="9" t="s">
        <v>21</v>
      </c>
      <c r="I73" s="9">
        <f t="shared" si="5"/>
        <v>13</v>
      </c>
      <c r="J73" s="9">
        <f t="shared" si="4"/>
        <v>6</v>
      </c>
      <c r="K73" s="10" t="str">
        <f t="shared" si="6"/>
        <v>S1R13B6</v>
      </c>
      <c r="L73" s="10" t="s">
        <v>22</v>
      </c>
      <c r="M73" s="10">
        <f>IF(Table1[[#This Row],[ID ROW]]&lt;=12,Table1[[#This Row],[ID ROW]],Table1[[#This Row],[ID ROW]]+INT((Table1[[#This Row],[ID ROW]]-1)/12)*2)</f>
        <v>15</v>
      </c>
      <c r="N73" s="10" t="str">
        <f t="shared" si="7"/>
        <v>RSR15B6</v>
      </c>
      <c r="O73" s="10">
        <f>IF(Table1[[#This Row],[ID ROW]]&lt;=12,1,INT((Table1[[#This Row],[ID ROW]]-1)/12)+1)</f>
        <v>2</v>
      </c>
      <c r="P73" s="10">
        <f>Table1[[#This Row],[ID ROW]]-((Table1[[#This Row],[SECT]]-1)*12)</f>
        <v>1</v>
      </c>
    </row>
    <row r="74" spans="1:16" ht="15.75" customHeight="1" x14ac:dyDescent="0.25">
      <c r="A74" s="6" t="s">
        <v>305</v>
      </c>
      <c r="B74" s="6" t="s">
        <v>306</v>
      </c>
      <c r="C74" s="6" t="s">
        <v>67</v>
      </c>
      <c r="F74" s="7" t="s">
        <v>307</v>
      </c>
      <c r="G74" s="8">
        <v>73</v>
      </c>
      <c r="H74" s="9" t="s">
        <v>21</v>
      </c>
      <c r="I74" s="9">
        <f t="shared" si="5"/>
        <v>14</v>
      </c>
      <c r="J74" s="9">
        <f t="shared" si="4"/>
        <v>1</v>
      </c>
      <c r="K74" s="10" t="str">
        <f t="shared" si="6"/>
        <v>S1R14B1</v>
      </c>
      <c r="L74" s="10" t="s">
        <v>22</v>
      </c>
      <c r="M74" s="10">
        <f>IF(Table1[[#This Row],[ID ROW]]&lt;=12,Table1[[#This Row],[ID ROW]],Table1[[#This Row],[ID ROW]]+INT((Table1[[#This Row],[ID ROW]]-1)/12)*2)</f>
        <v>16</v>
      </c>
      <c r="N74" s="10" t="str">
        <f t="shared" si="7"/>
        <v>RSR16B1</v>
      </c>
      <c r="O74" s="10">
        <f>IF(Table1[[#This Row],[ID ROW]]&lt;=12,1,INT((Table1[[#This Row],[ID ROW]]-1)/12)+1)</f>
        <v>2</v>
      </c>
      <c r="P74" s="10">
        <f>Table1[[#This Row],[ID ROW]]-((Table1[[#This Row],[SECT]]-1)*12)</f>
        <v>2</v>
      </c>
    </row>
    <row r="75" spans="1:16" ht="15.75" customHeight="1" x14ac:dyDescent="0.3">
      <c r="A75" s="6" t="s">
        <v>308</v>
      </c>
      <c r="B75" s="6" t="s">
        <v>309</v>
      </c>
      <c r="C75" s="6" t="s">
        <v>194</v>
      </c>
      <c r="D75" s="6" t="s">
        <v>195</v>
      </c>
      <c r="F75" s="13" t="s">
        <v>310</v>
      </c>
      <c r="G75" s="8">
        <v>74</v>
      </c>
      <c r="H75" s="9" t="s">
        <v>21</v>
      </c>
      <c r="I75" s="9">
        <f t="shared" si="5"/>
        <v>14</v>
      </c>
      <c r="J75" s="9">
        <f t="shared" si="4"/>
        <v>2</v>
      </c>
      <c r="K75" s="10" t="str">
        <f t="shared" si="6"/>
        <v>S1R14B2</v>
      </c>
      <c r="L75" s="10" t="s">
        <v>22</v>
      </c>
      <c r="M75" s="10">
        <f>IF(Table1[[#This Row],[ID ROW]]&lt;=12,Table1[[#This Row],[ID ROW]],Table1[[#This Row],[ID ROW]]+INT((Table1[[#This Row],[ID ROW]]-1)/12)*2)</f>
        <v>16</v>
      </c>
      <c r="N75" s="10" t="str">
        <f t="shared" si="7"/>
        <v>RSR16B2</v>
      </c>
      <c r="O75" s="10">
        <f>IF(Table1[[#This Row],[ID ROW]]&lt;=12,1,INT((Table1[[#This Row],[ID ROW]]-1)/12)+1)</f>
        <v>2</v>
      </c>
      <c r="P75" s="10">
        <f>Table1[[#This Row],[ID ROW]]-((Table1[[#This Row],[SECT]]-1)*12)</f>
        <v>2</v>
      </c>
    </row>
    <row r="76" spans="1:16" ht="15.75" customHeight="1" x14ac:dyDescent="0.25">
      <c r="A76" s="6" t="s">
        <v>311</v>
      </c>
      <c r="B76" s="6" t="s">
        <v>312</v>
      </c>
      <c r="C76" s="6" t="s">
        <v>313</v>
      </c>
      <c r="D76" s="6" t="s">
        <v>314</v>
      </c>
      <c r="F76" s="7" t="s">
        <v>315</v>
      </c>
      <c r="G76" s="8">
        <v>75</v>
      </c>
      <c r="H76" s="9" t="s">
        <v>21</v>
      </c>
      <c r="I76" s="9">
        <f t="shared" si="5"/>
        <v>14</v>
      </c>
      <c r="J76" s="9">
        <f t="shared" si="4"/>
        <v>3</v>
      </c>
      <c r="K76" s="10" t="str">
        <f t="shared" si="6"/>
        <v>S1R14B3</v>
      </c>
      <c r="L76" s="10" t="s">
        <v>22</v>
      </c>
      <c r="M76" s="10">
        <f>IF(Table1[[#This Row],[ID ROW]]&lt;=12,Table1[[#This Row],[ID ROW]],Table1[[#This Row],[ID ROW]]+INT((Table1[[#This Row],[ID ROW]]-1)/12)*2)</f>
        <v>16</v>
      </c>
      <c r="N76" s="10" t="str">
        <f t="shared" si="7"/>
        <v>RSR16B3</v>
      </c>
      <c r="O76" s="10">
        <f>IF(Table1[[#This Row],[ID ROW]]&lt;=12,1,INT((Table1[[#This Row],[ID ROW]]-1)/12)+1)</f>
        <v>2</v>
      </c>
      <c r="P76" s="10">
        <f>Table1[[#This Row],[ID ROW]]-((Table1[[#This Row],[SECT]]-1)*12)</f>
        <v>2</v>
      </c>
    </row>
    <row r="77" spans="1:16" ht="15.75" customHeight="1" x14ac:dyDescent="0.3">
      <c r="A77" s="6" t="s">
        <v>316</v>
      </c>
      <c r="B77" s="6" t="s">
        <v>317</v>
      </c>
      <c r="C77" s="6" t="s">
        <v>318</v>
      </c>
      <c r="F77" s="13" t="s">
        <v>319</v>
      </c>
      <c r="G77" s="8">
        <v>76</v>
      </c>
      <c r="H77" s="9" t="s">
        <v>21</v>
      </c>
      <c r="I77" s="9">
        <f t="shared" si="5"/>
        <v>14</v>
      </c>
      <c r="J77" s="9">
        <f t="shared" si="4"/>
        <v>4</v>
      </c>
      <c r="K77" s="10" t="str">
        <f t="shared" si="6"/>
        <v>S1R14B4</v>
      </c>
      <c r="L77" s="10" t="s">
        <v>22</v>
      </c>
      <c r="M77" s="10">
        <f>IF(Table1[[#This Row],[ID ROW]]&lt;=12,Table1[[#This Row],[ID ROW]],Table1[[#This Row],[ID ROW]]+INT((Table1[[#This Row],[ID ROW]]-1)/12)*2)</f>
        <v>16</v>
      </c>
      <c r="N77" s="10" t="str">
        <f t="shared" si="7"/>
        <v>RSR16B4</v>
      </c>
      <c r="O77" s="10">
        <f>IF(Table1[[#This Row],[ID ROW]]&lt;=12,1,INT((Table1[[#This Row],[ID ROW]]-1)/12)+1)</f>
        <v>2</v>
      </c>
      <c r="P77" s="10">
        <f>Table1[[#This Row],[ID ROW]]-((Table1[[#This Row],[SECT]]-1)*12)</f>
        <v>2</v>
      </c>
    </row>
    <row r="78" spans="1:16" ht="15.75" customHeight="1" x14ac:dyDescent="0.25">
      <c r="A78" s="6" t="s">
        <v>320</v>
      </c>
      <c r="B78" s="6" t="s">
        <v>321</v>
      </c>
      <c r="C78" s="6" t="s">
        <v>211</v>
      </c>
      <c r="D78" s="6" t="s">
        <v>322</v>
      </c>
      <c r="F78" s="7" t="s">
        <v>323</v>
      </c>
      <c r="G78" s="8">
        <v>77</v>
      </c>
      <c r="H78" s="9" t="s">
        <v>21</v>
      </c>
      <c r="I78" s="9">
        <f t="shared" si="5"/>
        <v>14</v>
      </c>
      <c r="J78" s="9">
        <f t="shared" si="4"/>
        <v>5</v>
      </c>
      <c r="K78" s="10" t="str">
        <f t="shared" si="6"/>
        <v>S1R14B5</v>
      </c>
      <c r="L78" s="10" t="s">
        <v>22</v>
      </c>
      <c r="M78" s="10">
        <f>IF(Table1[[#This Row],[ID ROW]]&lt;=12,Table1[[#This Row],[ID ROW]],Table1[[#This Row],[ID ROW]]+INT((Table1[[#This Row],[ID ROW]]-1)/12)*2)</f>
        <v>16</v>
      </c>
      <c r="N78" s="10" t="str">
        <f t="shared" si="7"/>
        <v>RSR16B5</v>
      </c>
      <c r="O78" s="10">
        <f>IF(Table1[[#This Row],[ID ROW]]&lt;=12,1,INT((Table1[[#This Row],[ID ROW]]-1)/12)+1)</f>
        <v>2</v>
      </c>
      <c r="P78" s="10">
        <f>Table1[[#This Row],[ID ROW]]-((Table1[[#This Row],[SECT]]-1)*12)</f>
        <v>2</v>
      </c>
    </row>
    <row r="79" spans="1:16" ht="15.75" customHeight="1" x14ac:dyDescent="0.3">
      <c r="A79" s="6" t="s">
        <v>165</v>
      </c>
      <c r="B79" s="6" t="s">
        <v>324</v>
      </c>
      <c r="C79" s="6" t="s">
        <v>325</v>
      </c>
      <c r="D79" s="12"/>
      <c r="E79" s="12"/>
      <c r="F79" s="13" t="s">
        <v>326</v>
      </c>
      <c r="G79" s="8">
        <v>78</v>
      </c>
      <c r="H79" s="9" t="s">
        <v>21</v>
      </c>
      <c r="I79" s="9">
        <f t="shared" si="5"/>
        <v>15</v>
      </c>
      <c r="J79" s="9">
        <f t="shared" si="4"/>
        <v>1</v>
      </c>
      <c r="K79" s="10" t="str">
        <f t="shared" si="6"/>
        <v>S1R15B1</v>
      </c>
      <c r="L79" s="10" t="s">
        <v>22</v>
      </c>
      <c r="M79" s="10">
        <f>IF(Table1[[#This Row],[ID ROW]]&lt;=12,Table1[[#This Row],[ID ROW]],Table1[[#This Row],[ID ROW]]+INT((Table1[[#This Row],[ID ROW]]-1)/12)*2)</f>
        <v>17</v>
      </c>
      <c r="N79" s="10" t="str">
        <f t="shared" si="7"/>
        <v>RSR17B1</v>
      </c>
      <c r="O79" s="10">
        <f>IF(Table1[[#This Row],[ID ROW]]&lt;=12,1,INT((Table1[[#This Row],[ID ROW]]-1)/12)+1)</f>
        <v>2</v>
      </c>
      <c r="P79" s="10">
        <f>Table1[[#This Row],[ID ROW]]-((Table1[[#This Row],[SECT]]-1)*12)</f>
        <v>3</v>
      </c>
    </row>
    <row r="80" spans="1:16" ht="15.75" customHeight="1" x14ac:dyDescent="0.25">
      <c r="A80" s="6" t="s">
        <v>327</v>
      </c>
      <c r="B80" s="6" t="s">
        <v>328</v>
      </c>
      <c r="C80" s="6" t="s">
        <v>329</v>
      </c>
      <c r="D80" s="6" t="s">
        <v>330</v>
      </c>
      <c r="F80" s="7" t="s">
        <v>331</v>
      </c>
      <c r="G80" s="8">
        <v>79</v>
      </c>
      <c r="H80" s="9" t="s">
        <v>21</v>
      </c>
      <c r="I80" s="9">
        <f t="shared" si="5"/>
        <v>15</v>
      </c>
      <c r="J80" s="9">
        <f t="shared" si="4"/>
        <v>2</v>
      </c>
      <c r="K80" s="10" t="str">
        <f t="shared" si="6"/>
        <v>S1R15B2</v>
      </c>
      <c r="L80" s="10" t="s">
        <v>22</v>
      </c>
      <c r="M80" s="10">
        <f>IF(Table1[[#This Row],[ID ROW]]&lt;=12,Table1[[#This Row],[ID ROW]],Table1[[#This Row],[ID ROW]]+INT((Table1[[#This Row],[ID ROW]]-1)/12)*2)</f>
        <v>17</v>
      </c>
      <c r="N80" s="10" t="str">
        <f t="shared" si="7"/>
        <v>RSR17B2</v>
      </c>
      <c r="O80" s="10">
        <f>IF(Table1[[#This Row],[ID ROW]]&lt;=12,1,INT((Table1[[#This Row],[ID ROW]]-1)/12)+1)</f>
        <v>2</v>
      </c>
      <c r="P80" s="10">
        <f>Table1[[#This Row],[ID ROW]]-((Table1[[#This Row],[SECT]]-1)*12)</f>
        <v>3</v>
      </c>
    </row>
    <row r="81" spans="1:16" ht="15.75" customHeight="1" x14ac:dyDescent="0.3">
      <c r="A81" s="6" t="s">
        <v>332</v>
      </c>
      <c r="B81" s="6" t="s">
        <v>136</v>
      </c>
      <c r="C81" s="6" t="s">
        <v>329</v>
      </c>
      <c r="D81" s="6" t="s">
        <v>330</v>
      </c>
      <c r="F81" s="13" t="s">
        <v>331</v>
      </c>
      <c r="G81" s="8">
        <v>80</v>
      </c>
      <c r="H81" s="9" t="s">
        <v>21</v>
      </c>
      <c r="I81" s="9">
        <f t="shared" si="5"/>
        <v>15</v>
      </c>
      <c r="J81" s="9">
        <f t="shared" si="4"/>
        <v>3</v>
      </c>
      <c r="K81" s="10" t="str">
        <f t="shared" si="6"/>
        <v>S1R15B3</v>
      </c>
      <c r="L81" s="10" t="s">
        <v>22</v>
      </c>
      <c r="M81" s="10">
        <f>IF(Table1[[#This Row],[ID ROW]]&lt;=12,Table1[[#This Row],[ID ROW]],Table1[[#This Row],[ID ROW]]+INT((Table1[[#This Row],[ID ROW]]-1)/12)*2)</f>
        <v>17</v>
      </c>
      <c r="N81" s="10" t="str">
        <f t="shared" si="7"/>
        <v>RSR17B3</v>
      </c>
      <c r="O81" s="10">
        <f>IF(Table1[[#This Row],[ID ROW]]&lt;=12,1,INT((Table1[[#This Row],[ID ROW]]-1)/12)+1)</f>
        <v>2</v>
      </c>
      <c r="P81" s="10">
        <f>Table1[[#This Row],[ID ROW]]-((Table1[[#This Row],[SECT]]-1)*12)</f>
        <v>3</v>
      </c>
    </row>
    <row r="82" spans="1:16" ht="15.75" customHeight="1" x14ac:dyDescent="0.25">
      <c r="A82" s="6" t="s">
        <v>165</v>
      </c>
      <c r="B82" s="6" t="s">
        <v>333</v>
      </c>
      <c r="C82" s="6" t="s">
        <v>334</v>
      </c>
      <c r="D82" s="6" t="s">
        <v>335</v>
      </c>
      <c r="F82" s="7" t="s">
        <v>336</v>
      </c>
      <c r="G82" s="8">
        <v>81</v>
      </c>
      <c r="H82" s="9" t="s">
        <v>21</v>
      </c>
      <c r="I82" s="9">
        <f t="shared" si="5"/>
        <v>15</v>
      </c>
      <c r="J82" s="9">
        <f t="shared" si="4"/>
        <v>4</v>
      </c>
      <c r="K82" s="10" t="str">
        <f t="shared" si="6"/>
        <v>S1R15B4</v>
      </c>
      <c r="L82" s="10" t="s">
        <v>22</v>
      </c>
      <c r="M82" s="10">
        <f>IF(Table1[[#This Row],[ID ROW]]&lt;=12,Table1[[#This Row],[ID ROW]],Table1[[#This Row],[ID ROW]]+INT((Table1[[#This Row],[ID ROW]]-1)/12)*2)</f>
        <v>17</v>
      </c>
      <c r="N82" s="10" t="str">
        <f t="shared" si="7"/>
        <v>RSR17B4</v>
      </c>
      <c r="O82" s="10">
        <f>IF(Table1[[#This Row],[ID ROW]]&lt;=12,1,INT((Table1[[#This Row],[ID ROW]]-1)/12)+1)</f>
        <v>2</v>
      </c>
      <c r="P82" s="10">
        <f>Table1[[#This Row],[ID ROW]]-((Table1[[#This Row],[SECT]]-1)*12)</f>
        <v>3</v>
      </c>
    </row>
    <row r="83" spans="1:16" ht="15.75" customHeight="1" x14ac:dyDescent="0.3">
      <c r="A83" s="6" t="s">
        <v>337</v>
      </c>
      <c r="B83" s="6" t="s">
        <v>338</v>
      </c>
      <c r="C83" s="6" t="s">
        <v>339</v>
      </c>
      <c r="D83" s="6" t="s">
        <v>340</v>
      </c>
      <c r="F83" s="13" t="s">
        <v>341</v>
      </c>
      <c r="G83" s="8">
        <v>82</v>
      </c>
      <c r="H83" s="9" t="s">
        <v>21</v>
      </c>
      <c r="I83" s="9">
        <f t="shared" si="5"/>
        <v>15</v>
      </c>
      <c r="J83" s="9">
        <f t="shared" si="4"/>
        <v>5</v>
      </c>
      <c r="K83" s="10" t="str">
        <f t="shared" si="6"/>
        <v>S1R15B5</v>
      </c>
      <c r="L83" s="10" t="s">
        <v>22</v>
      </c>
      <c r="M83" s="10">
        <f>IF(Table1[[#This Row],[ID ROW]]&lt;=12,Table1[[#This Row],[ID ROW]],Table1[[#This Row],[ID ROW]]+INT((Table1[[#This Row],[ID ROW]]-1)/12)*2)</f>
        <v>17</v>
      </c>
      <c r="N83" s="10" t="str">
        <f t="shared" si="7"/>
        <v>RSR17B5</v>
      </c>
      <c r="O83" s="10">
        <f>IF(Table1[[#This Row],[ID ROW]]&lt;=12,1,INT((Table1[[#This Row],[ID ROW]]-1)/12)+1)</f>
        <v>2</v>
      </c>
      <c r="P83" s="10">
        <f>Table1[[#This Row],[ID ROW]]-((Table1[[#This Row],[SECT]]-1)*12)</f>
        <v>3</v>
      </c>
    </row>
    <row r="84" spans="1:16" ht="15.75" customHeight="1" x14ac:dyDescent="0.25">
      <c r="B84" s="6" t="s">
        <v>342</v>
      </c>
      <c r="F84" s="7" t="s">
        <v>343</v>
      </c>
      <c r="G84" s="8">
        <v>83</v>
      </c>
      <c r="H84" s="9" t="s">
        <v>21</v>
      </c>
      <c r="I84" s="9">
        <f t="shared" si="5"/>
        <v>15</v>
      </c>
      <c r="J84" s="9">
        <f t="shared" si="4"/>
        <v>6</v>
      </c>
      <c r="K84" s="10" t="str">
        <f t="shared" si="6"/>
        <v>S1R15B6</v>
      </c>
      <c r="L84" s="10" t="s">
        <v>22</v>
      </c>
      <c r="M84" s="10">
        <f>IF(Table1[[#This Row],[ID ROW]]&lt;=12,Table1[[#This Row],[ID ROW]],Table1[[#This Row],[ID ROW]]+INT((Table1[[#This Row],[ID ROW]]-1)/12)*2)</f>
        <v>17</v>
      </c>
      <c r="N84" s="10" t="str">
        <f t="shared" si="7"/>
        <v>RSR17B6</v>
      </c>
      <c r="O84" s="10">
        <f>IF(Table1[[#This Row],[ID ROW]]&lt;=12,1,INT((Table1[[#This Row],[ID ROW]]-1)/12)+1)</f>
        <v>2</v>
      </c>
      <c r="P84" s="10">
        <f>Table1[[#This Row],[ID ROW]]-((Table1[[#This Row],[SECT]]-1)*12)</f>
        <v>3</v>
      </c>
    </row>
    <row r="85" spans="1:16" ht="15.75" customHeight="1" x14ac:dyDescent="0.3">
      <c r="A85" s="6" t="s">
        <v>344</v>
      </c>
      <c r="B85" s="6" t="s">
        <v>345</v>
      </c>
      <c r="C85" s="6" t="s">
        <v>143</v>
      </c>
      <c r="D85" s="6" t="s">
        <v>346</v>
      </c>
      <c r="F85" s="13" t="s">
        <v>347</v>
      </c>
      <c r="G85" s="8">
        <v>84</v>
      </c>
      <c r="H85" s="9" t="s">
        <v>21</v>
      </c>
      <c r="I85" s="9">
        <f t="shared" si="5"/>
        <v>16</v>
      </c>
      <c r="J85" s="9">
        <f t="shared" si="4"/>
        <v>1</v>
      </c>
      <c r="K85" s="10" t="str">
        <f t="shared" si="6"/>
        <v>S1R16B1</v>
      </c>
      <c r="L85" s="10" t="s">
        <v>22</v>
      </c>
      <c r="M85" s="10">
        <f>IF(Table1[[#This Row],[ID ROW]]&lt;=12,Table1[[#This Row],[ID ROW]],Table1[[#This Row],[ID ROW]]+INT((Table1[[#This Row],[ID ROW]]-1)/12)*2)</f>
        <v>18</v>
      </c>
      <c r="N85" s="10" t="str">
        <f t="shared" si="7"/>
        <v>RSR18B1</v>
      </c>
      <c r="O85" s="10">
        <f>IF(Table1[[#This Row],[ID ROW]]&lt;=12,1,INT((Table1[[#This Row],[ID ROW]]-1)/12)+1)</f>
        <v>2</v>
      </c>
      <c r="P85" s="10">
        <f>Table1[[#This Row],[ID ROW]]-((Table1[[#This Row],[SECT]]-1)*12)</f>
        <v>4</v>
      </c>
    </row>
    <row r="86" spans="1:16" ht="15.75" customHeight="1" x14ac:dyDescent="0.25">
      <c r="A86" s="6" t="s">
        <v>348</v>
      </c>
      <c r="B86" s="6" t="s">
        <v>349</v>
      </c>
      <c r="C86" s="6" t="s">
        <v>350</v>
      </c>
      <c r="D86" s="6" t="s">
        <v>351</v>
      </c>
      <c r="F86" s="7" t="s">
        <v>347</v>
      </c>
      <c r="G86" s="8">
        <v>85</v>
      </c>
      <c r="H86" s="9" t="s">
        <v>21</v>
      </c>
      <c r="I86" s="9">
        <f t="shared" si="5"/>
        <v>16</v>
      </c>
      <c r="J86" s="9">
        <f t="shared" si="4"/>
        <v>2</v>
      </c>
      <c r="K86" s="10" t="str">
        <f t="shared" si="6"/>
        <v>S1R16B2</v>
      </c>
      <c r="L86" s="10" t="s">
        <v>22</v>
      </c>
      <c r="M86" s="10">
        <f>IF(Table1[[#This Row],[ID ROW]]&lt;=12,Table1[[#This Row],[ID ROW]],Table1[[#This Row],[ID ROW]]+INT((Table1[[#This Row],[ID ROW]]-1)/12)*2)</f>
        <v>18</v>
      </c>
      <c r="N86" s="10" t="str">
        <f t="shared" si="7"/>
        <v>RSR18B2</v>
      </c>
      <c r="O86" s="10">
        <f>IF(Table1[[#This Row],[ID ROW]]&lt;=12,1,INT((Table1[[#This Row],[ID ROW]]-1)/12)+1)</f>
        <v>2</v>
      </c>
      <c r="P86" s="10">
        <f>Table1[[#This Row],[ID ROW]]-((Table1[[#This Row],[SECT]]-1)*12)</f>
        <v>4</v>
      </c>
    </row>
    <row r="87" spans="1:16" ht="15.75" customHeight="1" x14ac:dyDescent="0.3">
      <c r="A87" s="6" t="s">
        <v>352</v>
      </c>
      <c r="B87" s="6" t="s">
        <v>353</v>
      </c>
      <c r="C87" s="6" t="s">
        <v>52</v>
      </c>
      <c r="F87" s="13" t="s">
        <v>354</v>
      </c>
      <c r="G87" s="8">
        <v>86</v>
      </c>
      <c r="H87" s="9" t="s">
        <v>21</v>
      </c>
      <c r="I87" s="9">
        <f t="shared" si="5"/>
        <v>16</v>
      </c>
      <c r="J87" s="9">
        <f t="shared" si="4"/>
        <v>3</v>
      </c>
      <c r="K87" s="10" t="str">
        <f t="shared" si="6"/>
        <v>S1R16B3</v>
      </c>
      <c r="L87" s="10" t="s">
        <v>22</v>
      </c>
      <c r="M87" s="10">
        <f>IF(Table1[[#This Row],[ID ROW]]&lt;=12,Table1[[#This Row],[ID ROW]],Table1[[#This Row],[ID ROW]]+INT((Table1[[#This Row],[ID ROW]]-1)/12)*2)</f>
        <v>18</v>
      </c>
      <c r="N87" s="10" t="str">
        <f t="shared" si="7"/>
        <v>RSR18B3</v>
      </c>
      <c r="O87" s="10">
        <f>IF(Table1[[#This Row],[ID ROW]]&lt;=12,1,INT((Table1[[#This Row],[ID ROW]]-1)/12)+1)</f>
        <v>2</v>
      </c>
      <c r="P87" s="10">
        <f>Table1[[#This Row],[ID ROW]]-((Table1[[#This Row],[SECT]]-1)*12)</f>
        <v>4</v>
      </c>
    </row>
    <row r="88" spans="1:16" ht="15.75" customHeight="1" x14ac:dyDescent="0.25">
      <c r="A88" s="6" t="s">
        <v>355</v>
      </c>
      <c r="B88" s="6" t="s">
        <v>356</v>
      </c>
      <c r="C88" s="6" t="s">
        <v>52</v>
      </c>
      <c r="F88" s="7" t="s">
        <v>354</v>
      </c>
      <c r="G88" s="8">
        <v>87</v>
      </c>
      <c r="H88" s="9" t="s">
        <v>21</v>
      </c>
      <c r="I88" s="9">
        <f t="shared" si="5"/>
        <v>16</v>
      </c>
      <c r="J88" s="9">
        <f t="shared" si="4"/>
        <v>4</v>
      </c>
      <c r="K88" s="10" t="str">
        <f t="shared" si="6"/>
        <v>S1R16B4</v>
      </c>
      <c r="L88" s="10" t="s">
        <v>22</v>
      </c>
      <c r="M88" s="10">
        <f>IF(Table1[[#This Row],[ID ROW]]&lt;=12,Table1[[#This Row],[ID ROW]],Table1[[#This Row],[ID ROW]]+INT((Table1[[#This Row],[ID ROW]]-1)/12)*2)</f>
        <v>18</v>
      </c>
      <c r="N88" s="10" t="str">
        <f t="shared" si="7"/>
        <v>RSR18B4</v>
      </c>
      <c r="O88" s="10">
        <f>IF(Table1[[#This Row],[ID ROW]]&lt;=12,1,INT((Table1[[#This Row],[ID ROW]]-1)/12)+1)</f>
        <v>2</v>
      </c>
      <c r="P88" s="10">
        <f>Table1[[#This Row],[ID ROW]]-((Table1[[#This Row],[SECT]]-1)*12)</f>
        <v>4</v>
      </c>
    </row>
    <row r="89" spans="1:16" ht="15.75" customHeight="1" x14ac:dyDescent="0.3">
      <c r="A89" s="6" t="s">
        <v>357</v>
      </c>
      <c r="B89" s="6" t="s">
        <v>67</v>
      </c>
      <c r="C89" s="6" t="s">
        <v>234</v>
      </c>
      <c r="D89" s="6" t="s">
        <v>235</v>
      </c>
      <c r="F89" s="13" t="s">
        <v>358</v>
      </c>
      <c r="G89" s="8">
        <v>88</v>
      </c>
      <c r="H89" s="9" t="s">
        <v>21</v>
      </c>
      <c r="I89" s="9">
        <f t="shared" si="5"/>
        <v>16</v>
      </c>
      <c r="J89" s="9">
        <f t="shared" si="4"/>
        <v>5</v>
      </c>
      <c r="K89" s="10" t="str">
        <f t="shared" si="6"/>
        <v>S1R16B5</v>
      </c>
      <c r="L89" s="10" t="s">
        <v>22</v>
      </c>
      <c r="M89" s="10">
        <f>IF(Table1[[#This Row],[ID ROW]]&lt;=12,Table1[[#This Row],[ID ROW]],Table1[[#This Row],[ID ROW]]+INT((Table1[[#This Row],[ID ROW]]-1)/12)*2)</f>
        <v>18</v>
      </c>
      <c r="N89" s="10" t="str">
        <f t="shared" si="7"/>
        <v>RSR18B5</v>
      </c>
      <c r="O89" s="10">
        <f>IF(Table1[[#This Row],[ID ROW]]&lt;=12,1,INT((Table1[[#This Row],[ID ROW]]-1)/12)+1)</f>
        <v>2</v>
      </c>
      <c r="P89" s="10">
        <f>Table1[[#This Row],[ID ROW]]-((Table1[[#This Row],[SECT]]-1)*12)</f>
        <v>4</v>
      </c>
    </row>
    <row r="90" spans="1:16" ht="15.75" customHeight="1" x14ac:dyDescent="0.25">
      <c r="A90" s="6" t="s">
        <v>359</v>
      </c>
      <c r="B90" s="6" t="s">
        <v>150</v>
      </c>
      <c r="C90" s="6" t="s">
        <v>360</v>
      </c>
      <c r="F90" s="7" t="s">
        <v>361</v>
      </c>
      <c r="G90" s="8">
        <v>89</v>
      </c>
      <c r="H90" s="9" t="s">
        <v>21</v>
      </c>
      <c r="I90" s="9">
        <f t="shared" si="5"/>
        <v>17</v>
      </c>
      <c r="J90" s="9">
        <f t="shared" si="4"/>
        <v>1</v>
      </c>
      <c r="K90" s="10" t="str">
        <f t="shared" si="6"/>
        <v>S1R17B1</v>
      </c>
      <c r="L90" s="10" t="s">
        <v>22</v>
      </c>
      <c r="M90" s="10">
        <f>IF(Table1[[#This Row],[ID ROW]]&lt;=12,Table1[[#This Row],[ID ROW]],Table1[[#This Row],[ID ROW]]+INT((Table1[[#This Row],[ID ROW]]-1)/12)*2)</f>
        <v>19</v>
      </c>
      <c r="N90" s="10" t="str">
        <f t="shared" si="7"/>
        <v>RSR19B1</v>
      </c>
      <c r="O90" s="10">
        <f>IF(Table1[[#This Row],[ID ROW]]&lt;=12,1,INT((Table1[[#This Row],[ID ROW]]-1)/12)+1)</f>
        <v>2</v>
      </c>
      <c r="P90" s="10">
        <f>Table1[[#This Row],[ID ROW]]-((Table1[[#This Row],[SECT]]-1)*12)</f>
        <v>5</v>
      </c>
    </row>
    <row r="91" spans="1:16" ht="15.75" customHeight="1" x14ac:dyDescent="0.3">
      <c r="A91" s="6" t="s">
        <v>362</v>
      </c>
      <c r="B91" s="6" t="s">
        <v>363</v>
      </c>
      <c r="C91" s="6" t="s">
        <v>364</v>
      </c>
      <c r="F91" s="13" t="s">
        <v>361</v>
      </c>
      <c r="G91" s="8">
        <v>90</v>
      </c>
      <c r="H91" s="9" t="s">
        <v>21</v>
      </c>
      <c r="I91" s="9">
        <f t="shared" si="5"/>
        <v>17</v>
      </c>
      <c r="J91" s="9">
        <f t="shared" si="4"/>
        <v>2</v>
      </c>
      <c r="K91" s="10" t="str">
        <f t="shared" si="6"/>
        <v>S1R17B2</v>
      </c>
      <c r="L91" s="10" t="s">
        <v>22</v>
      </c>
      <c r="M91" s="10">
        <f>IF(Table1[[#This Row],[ID ROW]]&lt;=12,Table1[[#This Row],[ID ROW]],Table1[[#This Row],[ID ROW]]+INT((Table1[[#This Row],[ID ROW]]-1)/12)*2)</f>
        <v>19</v>
      </c>
      <c r="N91" s="10" t="str">
        <f t="shared" si="7"/>
        <v>RSR19B2</v>
      </c>
      <c r="O91" s="10">
        <f>IF(Table1[[#This Row],[ID ROW]]&lt;=12,1,INT((Table1[[#This Row],[ID ROW]]-1)/12)+1)</f>
        <v>2</v>
      </c>
      <c r="P91" s="10">
        <f>Table1[[#This Row],[ID ROW]]-((Table1[[#This Row],[SECT]]-1)*12)</f>
        <v>5</v>
      </c>
    </row>
    <row r="92" spans="1:16" ht="15.75" customHeight="1" x14ac:dyDescent="0.25">
      <c r="A92" s="6" t="s">
        <v>365</v>
      </c>
      <c r="B92" s="6" t="s">
        <v>366</v>
      </c>
      <c r="C92" s="6" t="s">
        <v>296</v>
      </c>
      <c r="F92" s="7" t="s">
        <v>367</v>
      </c>
      <c r="G92" s="8">
        <v>91</v>
      </c>
      <c r="H92" s="9" t="s">
        <v>21</v>
      </c>
      <c r="I92" s="9">
        <f t="shared" si="5"/>
        <v>17</v>
      </c>
      <c r="J92" s="9">
        <f t="shared" si="4"/>
        <v>3</v>
      </c>
      <c r="K92" s="10" t="str">
        <f t="shared" si="6"/>
        <v>S1R17B3</v>
      </c>
      <c r="L92" s="10" t="s">
        <v>22</v>
      </c>
      <c r="M92" s="10">
        <f>IF(Table1[[#This Row],[ID ROW]]&lt;=12,Table1[[#This Row],[ID ROW]],Table1[[#This Row],[ID ROW]]+INT((Table1[[#This Row],[ID ROW]]-1)/12)*2)</f>
        <v>19</v>
      </c>
      <c r="N92" s="10" t="str">
        <f t="shared" si="7"/>
        <v>RSR19B3</v>
      </c>
      <c r="O92" s="10">
        <f>IF(Table1[[#This Row],[ID ROW]]&lt;=12,1,INT((Table1[[#This Row],[ID ROW]]-1)/12)+1)</f>
        <v>2</v>
      </c>
      <c r="P92" s="10">
        <f>Table1[[#This Row],[ID ROW]]-((Table1[[#This Row],[SECT]]-1)*12)</f>
        <v>5</v>
      </c>
    </row>
    <row r="93" spans="1:16" ht="15.75" customHeight="1" x14ac:dyDescent="0.3">
      <c r="A93" s="6" t="s">
        <v>368</v>
      </c>
      <c r="B93" s="6" t="s">
        <v>369</v>
      </c>
      <c r="C93" s="6" t="s">
        <v>67</v>
      </c>
      <c r="F93" s="13" t="s">
        <v>370</v>
      </c>
      <c r="G93" s="8">
        <v>92</v>
      </c>
      <c r="H93" s="9" t="s">
        <v>21</v>
      </c>
      <c r="I93" s="9">
        <f t="shared" si="5"/>
        <v>17</v>
      </c>
      <c r="J93" s="9">
        <f t="shared" si="4"/>
        <v>4</v>
      </c>
      <c r="K93" s="10" t="str">
        <f t="shared" si="6"/>
        <v>S1R17B4</v>
      </c>
      <c r="L93" s="10" t="s">
        <v>22</v>
      </c>
      <c r="M93" s="10">
        <f>IF(Table1[[#This Row],[ID ROW]]&lt;=12,Table1[[#This Row],[ID ROW]],Table1[[#This Row],[ID ROW]]+INT((Table1[[#This Row],[ID ROW]]-1)/12)*2)</f>
        <v>19</v>
      </c>
      <c r="N93" s="10" t="str">
        <f t="shared" si="7"/>
        <v>RSR19B4</v>
      </c>
      <c r="O93" s="10">
        <f>IF(Table1[[#This Row],[ID ROW]]&lt;=12,1,INT((Table1[[#This Row],[ID ROW]]-1)/12)+1)</f>
        <v>2</v>
      </c>
      <c r="P93" s="10">
        <f>Table1[[#This Row],[ID ROW]]-((Table1[[#This Row],[SECT]]-1)*12)</f>
        <v>5</v>
      </c>
    </row>
    <row r="94" spans="1:16" ht="15.75" customHeight="1" x14ac:dyDescent="0.25">
      <c r="A94" s="6" t="s">
        <v>371</v>
      </c>
      <c r="B94" s="6" t="s">
        <v>372</v>
      </c>
      <c r="C94" s="6" t="s">
        <v>264</v>
      </c>
      <c r="F94" s="7" t="s">
        <v>373</v>
      </c>
      <c r="G94" s="8">
        <v>93</v>
      </c>
      <c r="H94" s="9" t="s">
        <v>21</v>
      </c>
      <c r="I94" s="9">
        <f t="shared" si="5"/>
        <v>17</v>
      </c>
      <c r="J94" s="9">
        <f t="shared" si="4"/>
        <v>5</v>
      </c>
      <c r="K94" s="10" t="str">
        <f t="shared" si="6"/>
        <v>S1R17B5</v>
      </c>
      <c r="L94" s="10" t="s">
        <v>22</v>
      </c>
      <c r="M94" s="10">
        <f>IF(Table1[[#This Row],[ID ROW]]&lt;=12,Table1[[#This Row],[ID ROW]],Table1[[#This Row],[ID ROW]]+INT((Table1[[#This Row],[ID ROW]]-1)/12)*2)</f>
        <v>19</v>
      </c>
      <c r="N94" s="10" t="str">
        <f t="shared" si="7"/>
        <v>RSR19B5</v>
      </c>
      <c r="O94" s="10">
        <f>IF(Table1[[#This Row],[ID ROW]]&lt;=12,1,INT((Table1[[#This Row],[ID ROW]]-1)/12)+1)</f>
        <v>2</v>
      </c>
      <c r="P94" s="10">
        <f>Table1[[#This Row],[ID ROW]]-((Table1[[#This Row],[SECT]]-1)*12)</f>
        <v>5</v>
      </c>
    </row>
    <row r="95" spans="1:16" ht="15.75" customHeight="1" x14ac:dyDescent="0.3">
      <c r="A95" s="6" t="s">
        <v>374</v>
      </c>
      <c r="B95" s="6" t="s">
        <v>150</v>
      </c>
      <c r="C95" s="6" t="s">
        <v>127</v>
      </c>
      <c r="F95" s="13" t="s">
        <v>375</v>
      </c>
      <c r="G95" s="8">
        <v>94</v>
      </c>
      <c r="H95" s="9" t="s">
        <v>21</v>
      </c>
      <c r="I95" s="9">
        <f t="shared" si="5"/>
        <v>17</v>
      </c>
      <c r="J95" s="9">
        <f t="shared" si="4"/>
        <v>6</v>
      </c>
      <c r="K95" s="10" t="str">
        <f t="shared" si="6"/>
        <v>S1R17B6</v>
      </c>
      <c r="L95" s="10" t="s">
        <v>22</v>
      </c>
      <c r="M95" s="10">
        <f>IF(Table1[[#This Row],[ID ROW]]&lt;=12,Table1[[#This Row],[ID ROW]],Table1[[#This Row],[ID ROW]]+INT((Table1[[#This Row],[ID ROW]]-1)/12)*2)</f>
        <v>19</v>
      </c>
      <c r="N95" s="10" t="str">
        <f t="shared" si="7"/>
        <v>RSR19B6</v>
      </c>
      <c r="O95" s="10">
        <f>IF(Table1[[#This Row],[ID ROW]]&lt;=12,1,INT((Table1[[#This Row],[ID ROW]]-1)/12)+1)</f>
        <v>2</v>
      </c>
      <c r="P95" s="10">
        <f>Table1[[#This Row],[ID ROW]]-((Table1[[#This Row],[SECT]]-1)*12)</f>
        <v>5</v>
      </c>
    </row>
    <row r="96" spans="1:16" ht="15.75" customHeight="1" x14ac:dyDescent="0.25">
      <c r="A96" s="6" t="s">
        <v>105</v>
      </c>
      <c r="B96" s="6" t="s">
        <v>376</v>
      </c>
      <c r="C96" s="6" t="s">
        <v>377</v>
      </c>
      <c r="D96" s="6" t="s">
        <v>378</v>
      </c>
      <c r="F96" s="7" t="s">
        <v>379</v>
      </c>
      <c r="G96" s="8">
        <v>95</v>
      </c>
      <c r="H96" s="9" t="s">
        <v>21</v>
      </c>
      <c r="I96" s="9">
        <f t="shared" si="5"/>
        <v>18</v>
      </c>
      <c r="J96" s="9">
        <f t="shared" si="4"/>
        <v>1</v>
      </c>
      <c r="K96" s="10" t="str">
        <f t="shared" si="6"/>
        <v>S1R18B1</v>
      </c>
      <c r="L96" s="10" t="s">
        <v>22</v>
      </c>
      <c r="M96" s="10">
        <f>IF(Table1[[#This Row],[ID ROW]]&lt;=12,Table1[[#This Row],[ID ROW]],Table1[[#This Row],[ID ROW]]+INT((Table1[[#This Row],[ID ROW]]-1)/12)*2)</f>
        <v>20</v>
      </c>
      <c r="N96" s="10" t="str">
        <f t="shared" si="7"/>
        <v>RSR20B1</v>
      </c>
      <c r="O96" s="10">
        <f>IF(Table1[[#This Row],[ID ROW]]&lt;=12,1,INT((Table1[[#This Row],[ID ROW]]-1)/12)+1)</f>
        <v>2</v>
      </c>
      <c r="P96" s="10">
        <f>Table1[[#This Row],[ID ROW]]-((Table1[[#This Row],[SECT]]-1)*12)</f>
        <v>6</v>
      </c>
    </row>
    <row r="97" spans="1:16" ht="15.75" customHeight="1" x14ac:dyDescent="0.3">
      <c r="A97" s="6" t="s">
        <v>380</v>
      </c>
      <c r="B97" s="6" t="s">
        <v>377</v>
      </c>
      <c r="D97" s="6" t="s">
        <v>378</v>
      </c>
      <c r="F97" s="13" t="s">
        <v>379</v>
      </c>
      <c r="G97" s="8">
        <v>96</v>
      </c>
      <c r="H97" s="9" t="s">
        <v>21</v>
      </c>
      <c r="I97" s="9">
        <f t="shared" si="5"/>
        <v>18</v>
      </c>
      <c r="J97" s="9">
        <f t="shared" si="4"/>
        <v>2</v>
      </c>
      <c r="K97" s="10" t="str">
        <f t="shared" si="6"/>
        <v>S1R18B2</v>
      </c>
      <c r="L97" s="10" t="s">
        <v>22</v>
      </c>
      <c r="M97" s="10">
        <f>IF(Table1[[#This Row],[ID ROW]]&lt;=12,Table1[[#This Row],[ID ROW]],Table1[[#This Row],[ID ROW]]+INT((Table1[[#This Row],[ID ROW]]-1)/12)*2)</f>
        <v>20</v>
      </c>
      <c r="N97" s="10" t="str">
        <f t="shared" si="7"/>
        <v>RSR20B2</v>
      </c>
      <c r="O97" s="10">
        <f>IF(Table1[[#This Row],[ID ROW]]&lt;=12,1,INT((Table1[[#This Row],[ID ROW]]-1)/12)+1)</f>
        <v>2</v>
      </c>
      <c r="P97" s="10">
        <f>Table1[[#This Row],[ID ROW]]-((Table1[[#This Row],[SECT]]-1)*12)</f>
        <v>6</v>
      </c>
    </row>
    <row r="98" spans="1:16" ht="15.75" customHeight="1" x14ac:dyDescent="0.25">
      <c r="A98" s="6" t="s">
        <v>234</v>
      </c>
      <c r="B98" s="6" t="s">
        <v>235</v>
      </c>
      <c r="C98" s="6" t="s">
        <v>381</v>
      </c>
      <c r="F98" s="7" t="s">
        <v>382</v>
      </c>
      <c r="G98" s="8">
        <v>97</v>
      </c>
      <c r="H98" s="9" t="s">
        <v>21</v>
      </c>
      <c r="I98" s="9">
        <f t="shared" si="5"/>
        <v>18</v>
      </c>
      <c r="J98" s="9">
        <f t="shared" si="4"/>
        <v>3</v>
      </c>
      <c r="K98" s="10" t="str">
        <f t="shared" si="6"/>
        <v>S1R18B3</v>
      </c>
      <c r="L98" s="10" t="s">
        <v>22</v>
      </c>
      <c r="M98" s="10">
        <f>IF(Table1[[#This Row],[ID ROW]]&lt;=12,Table1[[#This Row],[ID ROW]],Table1[[#This Row],[ID ROW]]+INT((Table1[[#This Row],[ID ROW]]-1)/12)*2)</f>
        <v>20</v>
      </c>
      <c r="N98" s="10" t="str">
        <f t="shared" si="7"/>
        <v>RSR20B3</v>
      </c>
      <c r="O98" s="10">
        <f>IF(Table1[[#This Row],[ID ROW]]&lt;=12,1,INT((Table1[[#This Row],[ID ROW]]-1)/12)+1)</f>
        <v>2</v>
      </c>
      <c r="P98" s="10">
        <f>Table1[[#This Row],[ID ROW]]-((Table1[[#This Row],[SECT]]-1)*12)</f>
        <v>6</v>
      </c>
    </row>
    <row r="99" spans="1:16" ht="15.75" customHeight="1" x14ac:dyDescent="0.3">
      <c r="A99" s="6" t="s">
        <v>165</v>
      </c>
      <c r="B99" s="6" t="s">
        <v>383</v>
      </c>
      <c r="D99" s="6" t="s">
        <v>384</v>
      </c>
      <c r="F99" s="13" t="s">
        <v>382</v>
      </c>
      <c r="G99" s="8">
        <v>98</v>
      </c>
      <c r="H99" s="9" t="s">
        <v>21</v>
      </c>
      <c r="I99" s="9">
        <f t="shared" si="5"/>
        <v>18</v>
      </c>
      <c r="J99" s="9">
        <f t="shared" si="4"/>
        <v>4</v>
      </c>
      <c r="K99" s="10" t="str">
        <f t="shared" si="6"/>
        <v>S1R18B4</v>
      </c>
      <c r="L99" s="10" t="s">
        <v>22</v>
      </c>
      <c r="M99" s="10">
        <f>IF(Table1[[#This Row],[ID ROW]]&lt;=12,Table1[[#This Row],[ID ROW]],Table1[[#This Row],[ID ROW]]+INT((Table1[[#This Row],[ID ROW]]-1)/12)*2)</f>
        <v>20</v>
      </c>
      <c r="N99" s="10" t="str">
        <f t="shared" si="7"/>
        <v>RSR20B4</v>
      </c>
      <c r="O99" s="10">
        <f>IF(Table1[[#This Row],[ID ROW]]&lt;=12,1,INT((Table1[[#This Row],[ID ROW]]-1)/12)+1)</f>
        <v>2</v>
      </c>
      <c r="P99" s="10">
        <f>Table1[[#This Row],[ID ROW]]-((Table1[[#This Row],[SECT]]-1)*12)</f>
        <v>6</v>
      </c>
    </row>
    <row r="100" spans="1:16" ht="15.75" customHeight="1" x14ac:dyDescent="0.25">
      <c r="A100" s="6" t="s">
        <v>385</v>
      </c>
      <c r="B100" s="6" t="s">
        <v>386</v>
      </c>
      <c r="C100" s="6" t="s">
        <v>387</v>
      </c>
      <c r="D100" s="6" t="s">
        <v>241</v>
      </c>
      <c r="F100" s="7" t="s">
        <v>388</v>
      </c>
      <c r="G100" s="8">
        <v>99</v>
      </c>
      <c r="H100" s="9" t="s">
        <v>21</v>
      </c>
      <c r="I100" s="9">
        <f t="shared" si="5"/>
        <v>18</v>
      </c>
      <c r="J100" s="9">
        <f t="shared" si="4"/>
        <v>5</v>
      </c>
      <c r="K100" s="10" t="str">
        <f t="shared" si="6"/>
        <v>S1R18B5</v>
      </c>
      <c r="L100" s="10" t="s">
        <v>22</v>
      </c>
      <c r="M100" s="10">
        <f>IF(Table1[[#This Row],[ID ROW]]&lt;=12,Table1[[#This Row],[ID ROW]],Table1[[#This Row],[ID ROW]]+INT((Table1[[#This Row],[ID ROW]]-1)/12)*2)</f>
        <v>20</v>
      </c>
      <c r="N100" s="10" t="str">
        <f t="shared" si="7"/>
        <v>RSR20B5</v>
      </c>
      <c r="O100" s="10">
        <f>IF(Table1[[#This Row],[ID ROW]]&lt;=12,1,INT((Table1[[#This Row],[ID ROW]]-1)/12)+1)</f>
        <v>2</v>
      </c>
      <c r="P100" s="10">
        <f>Table1[[#This Row],[ID ROW]]-((Table1[[#This Row],[SECT]]-1)*12)</f>
        <v>6</v>
      </c>
    </row>
    <row r="101" spans="1:16" ht="15.75" customHeight="1" x14ac:dyDescent="0.3">
      <c r="A101" s="6" t="s">
        <v>389</v>
      </c>
      <c r="B101" s="6" t="s">
        <v>390</v>
      </c>
      <c r="C101" s="6" t="s">
        <v>391</v>
      </c>
      <c r="F101" s="13" t="s">
        <v>392</v>
      </c>
      <c r="G101" s="8">
        <v>100</v>
      </c>
      <c r="H101" s="9" t="s">
        <v>21</v>
      </c>
      <c r="I101" s="9">
        <f t="shared" si="5"/>
        <v>19</v>
      </c>
      <c r="J101" s="9">
        <f t="shared" si="4"/>
        <v>1</v>
      </c>
      <c r="K101" s="10" t="str">
        <f t="shared" si="6"/>
        <v>S1R19B1</v>
      </c>
      <c r="L101" s="10" t="s">
        <v>22</v>
      </c>
      <c r="M101" s="10">
        <f>IF(Table1[[#This Row],[ID ROW]]&lt;=12,Table1[[#This Row],[ID ROW]],Table1[[#This Row],[ID ROW]]+INT((Table1[[#This Row],[ID ROW]]-1)/12)*2)</f>
        <v>21</v>
      </c>
      <c r="N101" s="10" t="str">
        <f t="shared" si="7"/>
        <v>RSR21B1</v>
      </c>
      <c r="O101" s="10">
        <f>IF(Table1[[#This Row],[ID ROW]]&lt;=12,1,INT((Table1[[#This Row],[ID ROW]]-1)/12)+1)</f>
        <v>2</v>
      </c>
      <c r="P101" s="10">
        <f>Table1[[#This Row],[ID ROW]]-((Table1[[#This Row],[SECT]]-1)*12)</f>
        <v>7</v>
      </c>
    </row>
    <row r="102" spans="1:16" ht="15.75" customHeight="1" x14ac:dyDescent="0.25">
      <c r="A102" s="6" t="s">
        <v>165</v>
      </c>
      <c r="B102" s="6" t="s">
        <v>393</v>
      </c>
      <c r="C102" s="6" t="s">
        <v>394</v>
      </c>
      <c r="D102" s="6" t="s">
        <v>395</v>
      </c>
      <c r="F102" s="7" t="s">
        <v>396</v>
      </c>
      <c r="G102" s="8">
        <v>101</v>
      </c>
      <c r="H102" s="9" t="s">
        <v>21</v>
      </c>
      <c r="I102" s="9">
        <f t="shared" si="5"/>
        <v>19</v>
      </c>
      <c r="J102" s="9">
        <f t="shared" si="4"/>
        <v>2</v>
      </c>
      <c r="K102" s="10" t="str">
        <f t="shared" si="6"/>
        <v>S1R19B2</v>
      </c>
      <c r="L102" s="10" t="s">
        <v>22</v>
      </c>
      <c r="M102" s="10">
        <f>IF(Table1[[#This Row],[ID ROW]]&lt;=12,Table1[[#This Row],[ID ROW]],Table1[[#This Row],[ID ROW]]+INT((Table1[[#This Row],[ID ROW]]-1)/12)*2)</f>
        <v>21</v>
      </c>
      <c r="N102" s="10" t="str">
        <f t="shared" si="7"/>
        <v>RSR21B2</v>
      </c>
      <c r="O102" s="10">
        <f>IF(Table1[[#This Row],[ID ROW]]&lt;=12,1,INT((Table1[[#This Row],[ID ROW]]-1)/12)+1)</f>
        <v>2</v>
      </c>
      <c r="P102" s="10">
        <f>Table1[[#This Row],[ID ROW]]-((Table1[[#This Row],[SECT]]-1)*12)</f>
        <v>7</v>
      </c>
    </row>
    <row r="103" spans="1:16" ht="15.75" customHeight="1" x14ac:dyDescent="0.3">
      <c r="A103" s="6" t="s">
        <v>234</v>
      </c>
      <c r="B103" s="6" t="s">
        <v>105</v>
      </c>
      <c r="D103" s="6" t="s">
        <v>397</v>
      </c>
      <c r="F103" s="13" t="s">
        <v>398</v>
      </c>
      <c r="G103" s="8">
        <v>102</v>
      </c>
      <c r="H103" s="9" t="s">
        <v>21</v>
      </c>
      <c r="I103" s="9">
        <f t="shared" si="5"/>
        <v>19</v>
      </c>
      <c r="J103" s="9">
        <f t="shared" si="4"/>
        <v>3</v>
      </c>
      <c r="K103" s="10" t="str">
        <f t="shared" si="6"/>
        <v>S1R19B3</v>
      </c>
      <c r="L103" s="10" t="s">
        <v>22</v>
      </c>
      <c r="M103" s="10">
        <f>IF(Table1[[#This Row],[ID ROW]]&lt;=12,Table1[[#This Row],[ID ROW]],Table1[[#This Row],[ID ROW]]+INT((Table1[[#This Row],[ID ROW]]-1)/12)*2)</f>
        <v>21</v>
      </c>
      <c r="N103" s="10" t="str">
        <f t="shared" si="7"/>
        <v>RSR21B3</v>
      </c>
      <c r="O103" s="10">
        <f>IF(Table1[[#This Row],[ID ROW]]&lt;=12,1,INT((Table1[[#This Row],[ID ROW]]-1)/12)+1)</f>
        <v>2</v>
      </c>
      <c r="P103" s="10">
        <f>Table1[[#This Row],[ID ROW]]-((Table1[[#This Row],[SECT]]-1)*12)</f>
        <v>7</v>
      </c>
    </row>
    <row r="104" spans="1:16" ht="15.75" customHeight="1" x14ac:dyDescent="0.25">
      <c r="A104" s="6" t="s">
        <v>194</v>
      </c>
      <c r="B104" s="6" t="s">
        <v>399</v>
      </c>
      <c r="C104" s="6" t="s">
        <v>400</v>
      </c>
      <c r="D104" s="6" t="s">
        <v>401</v>
      </c>
      <c r="F104" s="7" t="s">
        <v>402</v>
      </c>
      <c r="G104" s="8">
        <v>103</v>
      </c>
      <c r="H104" s="9" t="s">
        <v>21</v>
      </c>
      <c r="I104" s="9">
        <f t="shared" si="5"/>
        <v>19</v>
      </c>
      <c r="J104" s="9">
        <f t="shared" si="4"/>
        <v>4</v>
      </c>
      <c r="K104" s="10" t="str">
        <f t="shared" si="6"/>
        <v>S1R19B4</v>
      </c>
      <c r="L104" s="10" t="s">
        <v>22</v>
      </c>
      <c r="M104" s="10">
        <f>IF(Table1[[#This Row],[ID ROW]]&lt;=12,Table1[[#This Row],[ID ROW]],Table1[[#This Row],[ID ROW]]+INT((Table1[[#This Row],[ID ROW]]-1)/12)*2)</f>
        <v>21</v>
      </c>
      <c r="N104" s="10" t="str">
        <f t="shared" si="7"/>
        <v>RSR21B4</v>
      </c>
      <c r="O104" s="10">
        <f>IF(Table1[[#This Row],[ID ROW]]&lt;=12,1,INT((Table1[[#This Row],[ID ROW]]-1)/12)+1)</f>
        <v>2</v>
      </c>
      <c r="P104" s="10">
        <f>Table1[[#This Row],[ID ROW]]-((Table1[[#This Row],[SECT]]-1)*12)</f>
        <v>7</v>
      </c>
    </row>
    <row r="105" spans="1:16" ht="15.75" customHeight="1" x14ac:dyDescent="0.3">
      <c r="A105" s="6" t="s">
        <v>403</v>
      </c>
      <c r="B105" s="6" t="s">
        <v>404</v>
      </c>
      <c r="C105" s="6" t="s">
        <v>264</v>
      </c>
      <c r="D105" s="6" t="s">
        <v>195</v>
      </c>
      <c r="F105" s="13" t="s">
        <v>405</v>
      </c>
      <c r="G105" s="8">
        <v>104</v>
      </c>
      <c r="H105" s="9" t="s">
        <v>21</v>
      </c>
      <c r="I105" s="9">
        <f t="shared" si="5"/>
        <v>19</v>
      </c>
      <c r="J105" s="9">
        <f t="shared" si="4"/>
        <v>5</v>
      </c>
      <c r="K105" s="10" t="str">
        <f t="shared" si="6"/>
        <v>S1R19B5</v>
      </c>
      <c r="L105" s="10" t="s">
        <v>22</v>
      </c>
      <c r="M105" s="10">
        <f>IF(Table1[[#This Row],[ID ROW]]&lt;=12,Table1[[#This Row],[ID ROW]],Table1[[#This Row],[ID ROW]]+INT((Table1[[#This Row],[ID ROW]]-1)/12)*2)</f>
        <v>21</v>
      </c>
      <c r="N105" s="10" t="str">
        <f t="shared" si="7"/>
        <v>RSR21B5</v>
      </c>
      <c r="O105" s="10">
        <f>IF(Table1[[#This Row],[ID ROW]]&lt;=12,1,INT((Table1[[#This Row],[ID ROW]]-1)/12)+1)</f>
        <v>2</v>
      </c>
      <c r="P105" s="10">
        <f>Table1[[#This Row],[ID ROW]]-((Table1[[#This Row],[SECT]]-1)*12)</f>
        <v>7</v>
      </c>
    </row>
    <row r="106" spans="1:16" ht="15.75" customHeight="1" x14ac:dyDescent="0.25">
      <c r="A106" s="6" t="s">
        <v>406</v>
      </c>
      <c r="B106" s="6" t="s">
        <v>338</v>
      </c>
      <c r="C106" s="6" t="s">
        <v>194</v>
      </c>
      <c r="D106" s="6" t="s">
        <v>195</v>
      </c>
      <c r="F106" s="7" t="s">
        <v>405</v>
      </c>
      <c r="G106" s="8">
        <v>105</v>
      </c>
      <c r="H106" s="9" t="s">
        <v>21</v>
      </c>
      <c r="I106" s="9">
        <f t="shared" si="5"/>
        <v>19</v>
      </c>
      <c r="J106" s="9">
        <f t="shared" si="4"/>
        <v>6</v>
      </c>
      <c r="K106" s="10" t="str">
        <f t="shared" si="6"/>
        <v>S1R19B6</v>
      </c>
      <c r="L106" s="10" t="s">
        <v>22</v>
      </c>
      <c r="M106" s="10">
        <f>IF(Table1[[#This Row],[ID ROW]]&lt;=12,Table1[[#This Row],[ID ROW]],Table1[[#This Row],[ID ROW]]+INT((Table1[[#This Row],[ID ROW]]-1)/12)*2)</f>
        <v>21</v>
      </c>
      <c r="N106" s="10" t="str">
        <f t="shared" si="7"/>
        <v>RSR21B6</v>
      </c>
      <c r="O106" s="10">
        <f>IF(Table1[[#This Row],[ID ROW]]&lt;=12,1,INT((Table1[[#This Row],[ID ROW]]-1)/12)+1)</f>
        <v>2</v>
      </c>
      <c r="P106" s="10">
        <f>Table1[[#This Row],[ID ROW]]-((Table1[[#This Row],[SECT]]-1)*12)</f>
        <v>7</v>
      </c>
    </row>
    <row r="107" spans="1:16" ht="15.75" customHeight="1" x14ac:dyDescent="0.3">
      <c r="A107" s="6" t="s">
        <v>407</v>
      </c>
      <c r="B107" s="6" t="s">
        <v>408</v>
      </c>
      <c r="C107" s="6" t="s">
        <v>409</v>
      </c>
      <c r="F107" s="13" t="s">
        <v>410</v>
      </c>
      <c r="G107" s="8">
        <v>106</v>
      </c>
      <c r="H107" s="9" t="s">
        <v>21</v>
      </c>
      <c r="I107" s="9">
        <f t="shared" si="5"/>
        <v>20</v>
      </c>
      <c r="J107" s="9">
        <f t="shared" si="4"/>
        <v>1</v>
      </c>
      <c r="K107" s="10" t="str">
        <f t="shared" si="6"/>
        <v>S1R20B1</v>
      </c>
      <c r="L107" s="10" t="s">
        <v>22</v>
      </c>
      <c r="M107" s="10">
        <f>IF(Table1[[#This Row],[ID ROW]]&lt;=12,Table1[[#This Row],[ID ROW]],Table1[[#This Row],[ID ROW]]+INT((Table1[[#This Row],[ID ROW]]-1)/12)*2)</f>
        <v>22</v>
      </c>
      <c r="N107" s="10" t="str">
        <f t="shared" si="7"/>
        <v>RSR22B1</v>
      </c>
      <c r="O107" s="10">
        <f>IF(Table1[[#This Row],[ID ROW]]&lt;=12,1,INT((Table1[[#This Row],[ID ROW]]-1)/12)+1)</f>
        <v>2</v>
      </c>
      <c r="P107" s="10">
        <f>Table1[[#This Row],[ID ROW]]-((Table1[[#This Row],[SECT]]-1)*12)</f>
        <v>8</v>
      </c>
    </row>
    <row r="108" spans="1:16" ht="15.75" customHeight="1" x14ac:dyDescent="0.25">
      <c r="A108" s="6" t="s">
        <v>411</v>
      </c>
      <c r="B108" s="6" t="s">
        <v>349</v>
      </c>
      <c r="C108" s="6" t="s">
        <v>412</v>
      </c>
      <c r="F108" s="7" t="s">
        <v>413</v>
      </c>
      <c r="G108" s="8">
        <v>107</v>
      </c>
      <c r="H108" s="9" t="s">
        <v>21</v>
      </c>
      <c r="I108" s="9">
        <f t="shared" si="5"/>
        <v>20</v>
      </c>
      <c r="J108" s="9">
        <f t="shared" si="4"/>
        <v>2</v>
      </c>
      <c r="K108" s="10" t="str">
        <f t="shared" si="6"/>
        <v>S1R20B2</v>
      </c>
      <c r="L108" s="10" t="s">
        <v>22</v>
      </c>
      <c r="M108" s="10">
        <f>IF(Table1[[#This Row],[ID ROW]]&lt;=12,Table1[[#This Row],[ID ROW]],Table1[[#This Row],[ID ROW]]+INT((Table1[[#This Row],[ID ROW]]-1)/12)*2)</f>
        <v>22</v>
      </c>
      <c r="N108" s="10" t="str">
        <f t="shared" si="7"/>
        <v>RSR22B2</v>
      </c>
      <c r="O108" s="10">
        <f>IF(Table1[[#This Row],[ID ROW]]&lt;=12,1,INT((Table1[[#This Row],[ID ROW]]-1)/12)+1)</f>
        <v>2</v>
      </c>
      <c r="P108" s="10">
        <f>Table1[[#This Row],[ID ROW]]-((Table1[[#This Row],[SECT]]-1)*12)</f>
        <v>8</v>
      </c>
    </row>
    <row r="109" spans="1:16" ht="15.75" customHeight="1" x14ac:dyDescent="0.3">
      <c r="A109" s="6" t="s">
        <v>234</v>
      </c>
      <c r="B109" s="6" t="s">
        <v>235</v>
      </c>
      <c r="C109" s="6" t="s">
        <v>414</v>
      </c>
      <c r="D109" s="6" t="s">
        <v>415</v>
      </c>
      <c r="F109" s="13" t="s">
        <v>416</v>
      </c>
      <c r="G109" s="8">
        <v>108</v>
      </c>
      <c r="H109" s="9" t="s">
        <v>21</v>
      </c>
      <c r="I109" s="9">
        <f t="shared" si="5"/>
        <v>20</v>
      </c>
      <c r="J109" s="9">
        <f t="shared" si="4"/>
        <v>3</v>
      </c>
      <c r="K109" s="10" t="str">
        <f t="shared" si="6"/>
        <v>S1R20B3</v>
      </c>
      <c r="L109" s="10" t="s">
        <v>22</v>
      </c>
      <c r="M109" s="10">
        <f>IF(Table1[[#This Row],[ID ROW]]&lt;=12,Table1[[#This Row],[ID ROW]],Table1[[#This Row],[ID ROW]]+INT((Table1[[#This Row],[ID ROW]]-1)/12)*2)</f>
        <v>22</v>
      </c>
      <c r="N109" s="10" t="str">
        <f t="shared" si="7"/>
        <v>RSR22B3</v>
      </c>
      <c r="O109" s="10">
        <f>IF(Table1[[#This Row],[ID ROW]]&lt;=12,1,INT((Table1[[#This Row],[ID ROW]]-1)/12)+1)</f>
        <v>2</v>
      </c>
      <c r="P109" s="10">
        <f>Table1[[#This Row],[ID ROW]]-((Table1[[#This Row],[SECT]]-1)*12)</f>
        <v>8</v>
      </c>
    </row>
    <row r="110" spans="1:16" ht="15.75" customHeight="1" x14ac:dyDescent="0.25">
      <c r="A110" s="6" t="s">
        <v>417</v>
      </c>
      <c r="B110" s="6" t="s">
        <v>418</v>
      </c>
      <c r="C110" s="6" t="s">
        <v>419</v>
      </c>
      <c r="D110" s="6" t="s">
        <v>420</v>
      </c>
      <c r="F110" s="7" t="s">
        <v>421</v>
      </c>
      <c r="G110" s="8">
        <v>109</v>
      </c>
      <c r="H110" s="9" t="s">
        <v>21</v>
      </c>
      <c r="I110" s="9">
        <f t="shared" si="5"/>
        <v>20</v>
      </c>
      <c r="J110" s="9">
        <f t="shared" si="4"/>
        <v>4</v>
      </c>
      <c r="K110" s="10" t="str">
        <f t="shared" si="6"/>
        <v>S1R20B4</v>
      </c>
      <c r="L110" s="10" t="s">
        <v>22</v>
      </c>
      <c r="M110" s="10">
        <f>IF(Table1[[#This Row],[ID ROW]]&lt;=12,Table1[[#This Row],[ID ROW]],Table1[[#This Row],[ID ROW]]+INT((Table1[[#This Row],[ID ROW]]-1)/12)*2)</f>
        <v>22</v>
      </c>
      <c r="N110" s="10" t="str">
        <f t="shared" si="7"/>
        <v>RSR22B4</v>
      </c>
      <c r="O110" s="10">
        <f>IF(Table1[[#This Row],[ID ROW]]&lt;=12,1,INT((Table1[[#This Row],[ID ROW]]-1)/12)+1)</f>
        <v>2</v>
      </c>
      <c r="P110" s="10">
        <f>Table1[[#This Row],[ID ROW]]-((Table1[[#This Row],[SECT]]-1)*12)</f>
        <v>8</v>
      </c>
    </row>
    <row r="111" spans="1:16" ht="15.75" customHeight="1" x14ac:dyDescent="0.3">
      <c r="A111" s="6" t="s">
        <v>157</v>
      </c>
      <c r="B111" s="6" t="s">
        <v>422</v>
      </c>
      <c r="C111" s="6" t="s">
        <v>423</v>
      </c>
      <c r="D111" s="6" t="s">
        <v>424</v>
      </c>
      <c r="F111" s="13" t="s">
        <v>425</v>
      </c>
      <c r="G111" s="8">
        <v>110</v>
      </c>
      <c r="H111" s="9" t="s">
        <v>21</v>
      </c>
      <c r="I111" s="9">
        <f t="shared" si="5"/>
        <v>20</v>
      </c>
      <c r="J111" s="9">
        <f t="shared" si="4"/>
        <v>5</v>
      </c>
      <c r="K111" s="10" t="str">
        <f t="shared" si="6"/>
        <v>S1R20B5</v>
      </c>
      <c r="L111" s="10" t="s">
        <v>22</v>
      </c>
      <c r="M111" s="10">
        <f>IF(Table1[[#This Row],[ID ROW]]&lt;=12,Table1[[#This Row],[ID ROW]],Table1[[#This Row],[ID ROW]]+INT((Table1[[#This Row],[ID ROW]]-1)/12)*2)</f>
        <v>22</v>
      </c>
      <c r="N111" s="10" t="str">
        <f t="shared" si="7"/>
        <v>RSR22B5</v>
      </c>
      <c r="O111" s="10">
        <f>IF(Table1[[#This Row],[ID ROW]]&lt;=12,1,INT((Table1[[#This Row],[ID ROW]]-1)/12)+1)</f>
        <v>2</v>
      </c>
      <c r="P111" s="10">
        <f>Table1[[#This Row],[ID ROW]]-((Table1[[#This Row],[SECT]]-1)*12)</f>
        <v>8</v>
      </c>
    </row>
    <row r="112" spans="1:16" ht="15.75" customHeight="1" x14ac:dyDescent="0.25">
      <c r="A112" s="6" t="s">
        <v>426</v>
      </c>
      <c r="B112" s="6" t="s">
        <v>427</v>
      </c>
      <c r="C112" s="6" t="s">
        <v>279</v>
      </c>
      <c r="D112" s="6" t="s">
        <v>117</v>
      </c>
      <c r="F112" s="7" t="s">
        <v>428</v>
      </c>
      <c r="G112" s="8">
        <v>111</v>
      </c>
      <c r="H112" s="9" t="s">
        <v>21</v>
      </c>
      <c r="I112" s="9">
        <f t="shared" si="5"/>
        <v>21</v>
      </c>
      <c r="J112" s="9">
        <f t="shared" si="4"/>
        <v>1</v>
      </c>
      <c r="K112" s="10" t="str">
        <f t="shared" si="6"/>
        <v>S1R21B1</v>
      </c>
      <c r="L112" s="10" t="s">
        <v>22</v>
      </c>
      <c r="M112" s="10">
        <f>IF(Table1[[#This Row],[ID ROW]]&lt;=12,Table1[[#This Row],[ID ROW]],Table1[[#This Row],[ID ROW]]+INT((Table1[[#This Row],[ID ROW]]-1)/12)*2)</f>
        <v>23</v>
      </c>
      <c r="N112" s="10" t="str">
        <f t="shared" si="7"/>
        <v>RSR23B1</v>
      </c>
      <c r="O112" s="10">
        <f>IF(Table1[[#This Row],[ID ROW]]&lt;=12,1,INT((Table1[[#This Row],[ID ROW]]-1)/12)+1)</f>
        <v>2</v>
      </c>
      <c r="P112" s="10">
        <f>Table1[[#This Row],[ID ROW]]-((Table1[[#This Row],[SECT]]-1)*12)</f>
        <v>9</v>
      </c>
    </row>
    <row r="113" spans="1:16" ht="15.75" customHeight="1" x14ac:dyDescent="0.3">
      <c r="A113" s="6" t="s">
        <v>429</v>
      </c>
      <c r="B113" s="6" t="s">
        <v>430</v>
      </c>
      <c r="C113" s="6" t="s">
        <v>431</v>
      </c>
      <c r="D113" s="6" t="s">
        <v>117</v>
      </c>
      <c r="F113" s="13" t="s">
        <v>428</v>
      </c>
      <c r="G113" s="8">
        <v>112</v>
      </c>
      <c r="H113" s="9" t="s">
        <v>21</v>
      </c>
      <c r="I113" s="9">
        <f t="shared" si="5"/>
        <v>21</v>
      </c>
      <c r="J113" s="9">
        <f t="shared" si="4"/>
        <v>2</v>
      </c>
      <c r="K113" s="10" t="str">
        <f t="shared" si="6"/>
        <v>S1R21B2</v>
      </c>
      <c r="L113" s="10" t="s">
        <v>22</v>
      </c>
      <c r="M113" s="10">
        <f>IF(Table1[[#This Row],[ID ROW]]&lt;=12,Table1[[#This Row],[ID ROW]],Table1[[#This Row],[ID ROW]]+INT((Table1[[#This Row],[ID ROW]]-1)/12)*2)</f>
        <v>23</v>
      </c>
      <c r="N113" s="10" t="str">
        <f t="shared" si="7"/>
        <v>RSR23B2</v>
      </c>
      <c r="O113" s="10">
        <f>IF(Table1[[#This Row],[ID ROW]]&lt;=12,1,INT((Table1[[#This Row],[ID ROW]]-1)/12)+1)</f>
        <v>2</v>
      </c>
      <c r="P113" s="10">
        <f>Table1[[#This Row],[ID ROW]]-((Table1[[#This Row],[SECT]]-1)*12)</f>
        <v>9</v>
      </c>
    </row>
    <row r="114" spans="1:16" ht="15.75" customHeight="1" x14ac:dyDescent="0.25">
      <c r="A114" s="6" t="s">
        <v>432</v>
      </c>
      <c r="B114" s="6" t="s">
        <v>433</v>
      </c>
      <c r="C114" s="6" t="s">
        <v>434</v>
      </c>
      <c r="D114" s="6" t="s">
        <v>67</v>
      </c>
      <c r="F114" s="7" t="s">
        <v>428</v>
      </c>
      <c r="G114" s="8">
        <v>113</v>
      </c>
      <c r="H114" s="9" t="s">
        <v>21</v>
      </c>
      <c r="I114" s="9">
        <f t="shared" si="5"/>
        <v>21</v>
      </c>
      <c r="J114" s="9">
        <f t="shared" si="4"/>
        <v>3</v>
      </c>
      <c r="K114" s="10" t="str">
        <f t="shared" si="6"/>
        <v>S1R21B3</v>
      </c>
      <c r="L114" s="10" t="s">
        <v>22</v>
      </c>
      <c r="M114" s="10">
        <f>IF(Table1[[#This Row],[ID ROW]]&lt;=12,Table1[[#This Row],[ID ROW]],Table1[[#This Row],[ID ROW]]+INT((Table1[[#This Row],[ID ROW]]-1)/12)*2)</f>
        <v>23</v>
      </c>
      <c r="N114" s="10" t="str">
        <f t="shared" si="7"/>
        <v>RSR23B3</v>
      </c>
      <c r="O114" s="10">
        <f>IF(Table1[[#This Row],[ID ROW]]&lt;=12,1,INT((Table1[[#This Row],[ID ROW]]-1)/12)+1)</f>
        <v>2</v>
      </c>
      <c r="P114" s="10">
        <f>Table1[[#This Row],[ID ROW]]-((Table1[[#This Row],[SECT]]-1)*12)</f>
        <v>9</v>
      </c>
    </row>
    <row r="115" spans="1:16" ht="15.75" customHeight="1" x14ac:dyDescent="0.3">
      <c r="A115" s="6" t="s">
        <v>435</v>
      </c>
      <c r="B115" s="6" t="s">
        <v>436</v>
      </c>
      <c r="C115" s="6" t="s">
        <v>437</v>
      </c>
      <c r="D115" s="6" t="s">
        <v>438</v>
      </c>
      <c r="F115" s="13" t="s">
        <v>428</v>
      </c>
      <c r="G115" s="8">
        <v>114</v>
      </c>
      <c r="H115" s="9" t="s">
        <v>21</v>
      </c>
      <c r="I115" s="9">
        <f t="shared" si="5"/>
        <v>21</v>
      </c>
      <c r="J115" s="9">
        <f t="shared" si="4"/>
        <v>4</v>
      </c>
      <c r="K115" s="10" t="str">
        <f t="shared" si="6"/>
        <v>S1R21B4</v>
      </c>
      <c r="L115" s="10" t="s">
        <v>22</v>
      </c>
      <c r="M115" s="10">
        <f>IF(Table1[[#This Row],[ID ROW]]&lt;=12,Table1[[#This Row],[ID ROW]],Table1[[#This Row],[ID ROW]]+INT((Table1[[#This Row],[ID ROW]]-1)/12)*2)</f>
        <v>23</v>
      </c>
      <c r="N115" s="10" t="str">
        <f t="shared" si="7"/>
        <v>RSR23B4</v>
      </c>
      <c r="O115" s="10">
        <f>IF(Table1[[#This Row],[ID ROW]]&lt;=12,1,INT((Table1[[#This Row],[ID ROW]]-1)/12)+1)</f>
        <v>2</v>
      </c>
      <c r="P115" s="10">
        <f>Table1[[#This Row],[ID ROW]]-((Table1[[#This Row],[SECT]]-1)*12)</f>
        <v>9</v>
      </c>
    </row>
    <row r="116" spans="1:16" ht="15.75" customHeight="1" x14ac:dyDescent="0.25">
      <c r="A116" s="6" t="s">
        <v>439</v>
      </c>
      <c r="B116" s="6" t="s">
        <v>43</v>
      </c>
      <c r="C116" s="6" t="s">
        <v>440</v>
      </c>
      <c r="F116" s="7" t="s">
        <v>441</v>
      </c>
      <c r="G116" s="8">
        <v>115</v>
      </c>
      <c r="H116" s="9" t="s">
        <v>21</v>
      </c>
      <c r="I116" s="9">
        <f t="shared" si="5"/>
        <v>21</v>
      </c>
      <c r="J116" s="9">
        <f t="shared" si="4"/>
        <v>5</v>
      </c>
      <c r="K116" s="10" t="str">
        <f t="shared" si="6"/>
        <v>S1R21B5</v>
      </c>
      <c r="L116" s="10" t="s">
        <v>22</v>
      </c>
      <c r="M116" s="10">
        <f>IF(Table1[[#This Row],[ID ROW]]&lt;=12,Table1[[#This Row],[ID ROW]],Table1[[#This Row],[ID ROW]]+INT((Table1[[#This Row],[ID ROW]]-1)/12)*2)</f>
        <v>23</v>
      </c>
      <c r="N116" s="10" t="str">
        <f t="shared" si="7"/>
        <v>RSR23B5</v>
      </c>
      <c r="O116" s="10">
        <f>IF(Table1[[#This Row],[ID ROW]]&lt;=12,1,INT((Table1[[#This Row],[ID ROW]]-1)/12)+1)</f>
        <v>2</v>
      </c>
      <c r="P116" s="10">
        <f>Table1[[#This Row],[ID ROW]]-((Table1[[#This Row],[SECT]]-1)*12)</f>
        <v>9</v>
      </c>
    </row>
    <row r="117" spans="1:16" ht="15.75" customHeight="1" x14ac:dyDescent="0.3">
      <c r="A117" s="6" t="s">
        <v>442</v>
      </c>
      <c r="B117" s="6" t="s">
        <v>443</v>
      </c>
      <c r="C117" s="6" t="s">
        <v>444</v>
      </c>
      <c r="F117" s="13" t="s">
        <v>445</v>
      </c>
      <c r="G117" s="8">
        <v>116</v>
      </c>
      <c r="H117" s="9" t="s">
        <v>21</v>
      </c>
      <c r="I117" s="9">
        <f t="shared" si="5"/>
        <v>21</v>
      </c>
      <c r="J117" s="9">
        <f t="shared" si="4"/>
        <v>6</v>
      </c>
      <c r="K117" s="10" t="str">
        <f t="shared" si="6"/>
        <v>S1R21B6</v>
      </c>
      <c r="L117" s="10" t="s">
        <v>22</v>
      </c>
      <c r="M117" s="10">
        <f>IF(Table1[[#This Row],[ID ROW]]&lt;=12,Table1[[#This Row],[ID ROW]],Table1[[#This Row],[ID ROW]]+INT((Table1[[#This Row],[ID ROW]]-1)/12)*2)</f>
        <v>23</v>
      </c>
      <c r="N117" s="10" t="str">
        <f t="shared" si="7"/>
        <v>RSR23B6</v>
      </c>
      <c r="O117" s="10">
        <f>IF(Table1[[#This Row],[ID ROW]]&lt;=12,1,INT((Table1[[#This Row],[ID ROW]]-1)/12)+1)</f>
        <v>2</v>
      </c>
      <c r="P117" s="10">
        <f>Table1[[#This Row],[ID ROW]]-((Table1[[#This Row],[SECT]]-1)*12)</f>
        <v>9</v>
      </c>
    </row>
    <row r="118" spans="1:16" ht="15.75" customHeight="1" x14ac:dyDescent="0.25">
      <c r="A118" s="6" t="s">
        <v>446</v>
      </c>
      <c r="B118" s="6" t="s">
        <v>447</v>
      </c>
      <c r="C118" s="6" t="s">
        <v>448</v>
      </c>
      <c r="D118" s="6" t="s">
        <v>449</v>
      </c>
      <c r="F118" s="7" t="s">
        <v>450</v>
      </c>
      <c r="G118" s="8">
        <v>117</v>
      </c>
      <c r="H118" s="9" t="s">
        <v>21</v>
      </c>
      <c r="I118" s="9">
        <f t="shared" si="5"/>
        <v>22</v>
      </c>
      <c r="J118" s="9">
        <f t="shared" si="4"/>
        <v>1</v>
      </c>
      <c r="K118" s="10" t="str">
        <f t="shared" si="6"/>
        <v>S1R22B1</v>
      </c>
      <c r="L118" s="10" t="s">
        <v>22</v>
      </c>
      <c r="M118" s="10">
        <f>IF(Table1[[#This Row],[ID ROW]]&lt;=12,Table1[[#This Row],[ID ROW]],Table1[[#This Row],[ID ROW]]+INT((Table1[[#This Row],[ID ROW]]-1)/12)*2)</f>
        <v>24</v>
      </c>
      <c r="N118" s="10" t="str">
        <f t="shared" si="7"/>
        <v>RSR24B1</v>
      </c>
      <c r="O118" s="10">
        <f>IF(Table1[[#This Row],[ID ROW]]&lt;=12,1,INT((Table1[[#This Row],[ID ROW]]-1)/12)+1)</f>
        <v>2</v>
      </c>
      <c r="P118" s="10">
        <f>Table1[[#This Row],[ID ROW]]-((Table1[[#This Row],[SECT]]-1)*12)</f>
        <v>10</v>
      </c>
    </row>
    <row r="119" spans="1:16" ht="15.75" customHeight="1" x14ac:dyDescent="0.3">
      <c r="A119" s="6" t="s">
        <v>451</v>
      </c>
      <c r="B119" s="6" t="s">
        <v>452</v>
      </c>
      <c r="F119" s="13" t="s">
        <v>453</v>
      </c>
      <c r="G119" s="8">
        <v>118</v>
      </c>
      <c r="H119" s="9" t="s">
        <v>21</v>
      </c>
      <c r="I119" s="9">
        <f t="shared" si="5"/>
        <v>22</v>
      </c>
      <c r="J119" s="9">
        <f t="shared" si="4"/>
        <v>2</v>
      </c>
      <c r="K119" s="10" t="str">
        <f t="shared" si="6"/>
        <v>S1R22B2</v>
      </c>
      <c r="L119" s="10" t="s">
        <v>22</v>
      </c>
      <c r="M119" s="10">
        <f>IF(Table1[[#This Row],[ID ROW]]&lt;=12,Table1[[#This Row],[ID ROW]],Table1[[#This Row],[ID ROW]]+INT((Table1[[#This Row],[ID ROW]]-1)/12)*2)</f>
        <v>24</v>
      </c>
      <c r="N119" s="10" t="str">
        <f t="shared" si="7"/>
        <v>RSR24B2</v>
      </c>
      <c r="O119" s="10">
        <f>IF(Table1[[#This Row],[ID ROW]]&lt;=12,1,INT((Table1[[#This Row],[ID ROW]]-1)/12)+1)</f>
        <v>2</v>
      </c>
      <c r="P119" s="10">
        <f>Table1[[#This Row],[ID ROW]]-((Table1[[#This Row],[SECT]]-1)*12)</f>
        <v>10</v>
      </c>
    </row>
    <row r="120" spans="1:16" ht="15.75" customHeight="1" x14ac:dyDescent="0.25">
      <c r="A120" s="6" t="s">
        <v>454</v>
      </c>
      <c r="B120" s="6" t="s">
        <v>455</v>
      </c>
      <c r="C120" s="6" t="s">
        <v>456</v>
      </c>
      <c r="D120" s="6" t="s">
        <v>457</v>
      </c>
      <c r="F120" s="7" t="s">
        <v>458</v>
      </c>
      <c r="G120" s="8">
        <v>119</v>
      </c>
      <c r="H120" s="9" t="s">
        <v>21</v>
      </c>
      <c r="I120" s="9">
        <f t="shared" si="5"/>
        <v>22</v>
      </c>
      <c r="J120" s="9">
        <f t="shared" si="4"/>
        <v>3</v>
      </c>
      <c r="K120" s="10" t="str">
        <f t="shared" si="6"/>
        <v>S1R22B3</v>
      </c>
      <c r="L120" s="10" t="s">
        <v>22</v>
      </c>
      <c r="M120" s="10">
        <f>IF(Table1[[#This Row],[ID ROW]]&lt;=12,Table1[[#This Row],[ID ROW]],Table1[[#This Row],[ID ROW]]+INT((Table1[[#This Row],[ID ROW]]-1)/12)*2)</f>
        <v>24</v>
      </c>
      <c r="N120" s="10" t="str">
        <f t="shared" si="7"/>
        <v>RSR24B3</v>
      </c>
      <c r="O120" s="10">
        <f>IF(Table1[[#This Row],[ID ROW]]&lt;=12,1,INT((Table1[[#This Row],[ID ROW]]-1)/12)+1)</f>
        <v>2</v>
      </c>
      <c r="P120" s="10">
        <f>Table1[[#This Row],[ID ROW]]-((Table1[[#This Row],[SECT]]-1)*12)</f>
        <v>10</v>
      </c>
    </row>
    <row r="121" spans="1:16" ht="15.75" customHeight="1" x14ac:dyDescent="0.3">
      <c r="A121" s="6" t="s">
        <v>329</v>
      </c>
      <c r="B121" s="6" t="s">
        <v>459</v>
      </c>
      <c r="C121" s="6" t="s">
        <v>460</v>
      </c>
      <c r="D121" s="6" t="s">
        <v>461</v>
      </c>
      <c r="F121" s="13" t="s">
        <v>462</v>
      </c>
      <c r="G121" s="8">
        <v>120</v>
      </c>
      <c r="H121" s="9" t="s">
        <v>21</v>
      </c>
      <c r="I121" s="9">
        <f t="shared" si="5"/>
        <v>22</v>
      </c>
      <c r="J121" s="9">
        <f t="shared" si="4"/>
        <v>4</v>
      </c>
      <c r="K121" s="10" t="str">
        <f t="shared" si="6"/>
        <v>S1R22B4</v>
      </c>
      <c r="L121" s="10" t="s">
        <v>22</v>
      </c>
      <c r="M121" s="10">
        <f>IF(Table1[[#This Row],[ID ROW]]&lt;=12,Table1[[#This Row],[ID ROW]],Table1[[#This Row],[ID ROW]]+INT((Table1[[#This Row],[ID ROW]]-1)/12)*2)</f>
        <v>24</v>
      </c>
      <c r="N121" s="10" t="str">
        <f t="shared" si="7"/>
        <v>RSR24B4</v>
      </c>
      <c r="O121" s="10">
        <f>IF(Table1[[#This Row],[ID ROW]]&lt;=12,1,INT((Table1[[#This Row],[ID ROW]]-1)/12)+1)</f>
        <v>2</v>
      </c>
      <c r="P121" s="10">
        <f>Table1[[#This Row],[ID ROW]]-((Table1[[#This Row],[SECT]]-1)*12)</f>
        <v>10</v>
      </c>
    </row>
    <row r="122" spans="1:16" ht="15.75" customHeight="1" x14ac:dyDescent="0.25">
      <c r="A122" s="6" t="s">
        <v>463</v>
      </c>
      <c r="B122" s="6" t="s">
        <v>211</v>
      </c>
      <c r="C122" s="6" t="s">
        <v>464</v>
      </c>
      <c r="D122" s="6" t="s">
        <v>465</v>
      </c>
      <c r="F122" s="7" t="s">
        <v>466</v>
      </c>
      <c r="G122" s="8">
        <v>121</v>
      </c>
      <c r="H122" s="9" t="s">
        <v>21</v>
      </c>
      <c r="I122" s="9">
        <f t="shared" si="5"/>
        <v>22</v>
      </c>
      <c r="J122" s="9">
        <f t="shared" si="4"/>
        <v>5</v>
      </c>
      <c r="K122" s="10" t="str">
        <f t="shared" si="6"/>
        <v>S1R22B5</v>
      </c>
      <c r="L122" s="10" t="s">
        <v>22</v>
      </c>
      <c r="M122" s="10">
        <f>IF(Table1[[#This Row],[ID ROW]]&lt;=12,Table1[[#This Row],[ID ROW]],Table1[[#This Row],[ID ROW]]+INT((Table1[[#This Row],[ID ROW]]-1)/12)*2)</f>
        <v>24</v>
      </c>
      <c r="N122" s="10" t="str">
        <f t="shared" si="7"/>
        <v>RSR24B5</v>
      </c>
      <c r="O122" s="10">
        <f>IF(Table1[[#This Row],[ID ROW]]&lt;=12,1,INT((Table1[[#This Row],[ID ROW]]-1)/12)+1)</f>
        <v>2</v>
      </c>
      <c r="P122" s="10">
        <f>Table1[[#This Row],[ID ROW]]-((Table1[[#This Row],[SECT]]-1)*12)</f>
        <v>10</v>
      </c>
    </row>
    <row r="123" spans="1:16" ht="15.75" customHeight="1" x14ac:dyDescent="0.3">
      <c r="A123" s="6" t="s">
        <v>467</v>
      </c>
      <c r="B123" s="6" t="s">
        <v>468</v>
      </c>
      <c r="C123" s="6" t="s">
        <v>67</v>
      </c>
      <c r="F123" s="13" t="s">
        <v>469</v>
      </c>
      <c r="G123" s="8">
        <v>122</v>
      </c>
      <c r="H123" s="9" t="s">
        <v>21</v>
      </c>
      <c r="I123" s="9">
        <f t="shared" si="5"/>
        <v>23</v>
      </c>
      <c r="J123" s="9">
        <f t="shared" si="4"/>
        <v>1</v>
      </c>
      <c r="K123" s="10" t="str">
        <f t="shared" si="6"/>
        <v>S1R23B1</v>
      </c>
      <c r="L123" s="10" t="s">
        <v>22</v>
      </c>
      <c r="M123" s="10">
        <f>IF(Table1[[#This Row],[ID ROW]]&lt;=12,Table1[[#This Row],[ID ROW]],Table1[[#This Row],[ID ROW]]+INT((Table1[[#This Row],[ID ROW]]-1)/12)*2)</f>
        <v>25</v>
      </c>
      <c r="N123" s="10" t="str">
        <f t="shared" si="7"/>
        <v>RSR25B1</v>
      </c>
      <c r="O123" s="10">
        <f>IF(Table1[[#This Row],[ID ROW]]&lt;=12,1,INT((Table1[[#This Row],[ID ROW]]-1)/12)+1)</f>
        <v>2</v>
      </c>
      <c r="P123" s="10">
        <f>Table1[[#This Row],[ID ROW]]-((Table1[[#This Row],[SECT]]-1)*12)</f>
        <v>11</v>
      </c>
    </row>
    <row r="124" spans="1:16" ht="15.75" customHeight="1" x14ac:dyDescent="0.25">
      <c r="A124" s="6" t="s">
        <v>470</v>
      </c>
      <c r="B124" s="6" t="s">
        <v>471</v>
      </c>
      <c r="C124" s="6" t="s">
        <v>472</v>
      </c>
      <c r="D124" s="6" t="s">
        <v>67</v>
      </c>
      <c r="F124" s="7" t="s">
        <v>473</v>
      </c>
      <c r="G124" s="8">
        <v>123</v>
      </c>
      <c r="H124" s="9" t="s">
        <v>21</v>
      </c>
      <c r="I124" s="9">
        <f t="shared" si="5"/>
        <v>23</v>
      </c>
      <c r="J124" s="9">
        <f t="shared" si="4"/>
        <v>2</v>
      </c>
      <c r="K124" s="10" t="str">
        <f t="shared" si="6"/>
        <v>S1R23B2</v>
      </c>
      <c r="L124" s="10" t="s">
        <v>22</v>
      </c>
      <c r="M124" s="10">
        <f>IF(Table1[[#This Row],[ID ROW]]&lt;=12,Table1[[#This Row],[ID ROW]],Table1[[#This Row],[ID ROW]]+INT((Table1[[#This Row],[ID ROW]]-1)/12)*2)</f>
        <v>25</v>
      </c>
      <c r="N124" s="10" t="str">
        <f t="shared" si="7"/>
        <v>RSR25B2</v>
      </c>
      <c r="O124" s="10">
        <f>IF(Table1[[#This Row],[ID ROW]]&lt;=12,1,INT((Table1[[#This Row],[ID ROW]]-1)/12)+1)</f>
        <v>2</v>
      </c>
      <c r="P124" s="10">
        <f>Table1[[#This Row],[ID ROW]]-((Table1[[#This Row],[SECT]]-1)*12)</f>
        <v>11</v>
      </c>
    </row>
    <row r="125" spans="1:16" ht="15.75" customHeight="1" x14ac:dyDescent="0.3">
      <c r="A125" s="6" t="s">
        <v>474</v>
      </c>
      <c r="B125" s="6" t="s">
        <v>475</v>
      </c>
      <c r="C125" s="6" t="s">
        <v>476</v>
      </c>
      <c r="D125" s="6" t="s">
        <v>477</v>
      </c>
      <c r="F125" s="13" t="s">
        <v>478</v>
      </c>
      <c r="G125" s="8">
        <v>124</v>
      </c>
      <c r="H125" s="9" t="s">
        <v>21</v>
      </c>
      <c r="I125" s="9">
        <f t="shared" si="5"/>
        <v>23</v>
      </c>
      <c r="J125" s="9">
        <f t="shared" si="4"/>
        <v>3</v>
      </c>
      <c r="K125" s="10" t="str">
        <f t="shared" si="6"/>
        <v>S1R23B3</v>
      </c>
      <c r="L125" s="10" t="s">
        <v>22</v>
      </c>
      <c r="M125" s="10">
        <f>IF(Table1[[#This Row],[ID ROW]]&lt;=12,Table1[[#This Row],[ID ROW]],Table1[[#This Row],[ID ROW]]+INT((Table1[[#This Row],[ID ROW]]-1)/12)*2)</f>
        <v>25</v>
      </c>
      <c r="N125" s="10" t="str">
        <f t="shared" si="7"/>
        <v>RSR25B3</v>
      </c>
      <c r="O125" s="10">
        <f>IF(Table1[[#This Row],[ID ROW]]&lt;=12,1,INT((Table1[[#This Row],[ID ROW]]-1)/12)+1)</f>
        <v>2</v>
      </c>
      <c r="P125" s="10">
        <f>Table1[[#This Row],[ID ROW]]-((Table1[[#This Row],[SECT]]-1)*12)</f>
        <v>11</v>
      </c>
    </row>
    <row r="126" spans="1:16" ht="15.75" customHeight="1" x14ac:dyDescent="0.25">
      <c r="A126" s="6" t="s">
        <v>479</v>
      </c>
      <c r="B126" s="6" t="s">
        <v>480</v>
      </c>
      <c r="C126" s="6" t="s">
        <v>338</v>
      </c>
      <c r="F126" s="7" t="s">
        <v>481</v>
      </c>
      <c r="G126" s="8">
        <v>125</v>
      </c>
      <c r="H126" s="9" t="s">
        <v>21</v>
      </c>
      <c r="I126" s="9">
        <f t="shared" si="5"/>
        <v>23</v>
      </c>
      <c r="J126" s="9">
        <f t="shared" si="4"/>
        <v>4</v>
      </c>
      <c r="K126" s="10" t="str">
        <f t="shared" si="6"/>
        <v>S1R23B4</v>
      </c>
      <c r="L126" s="10" t="s">
        <v>22</v>
      </c>
      <c r="M126" s="10">
        <f>IF(Table1[[#This Row],[ID ROW]]&lt;=12,Table1[[#This Row],[ID ROW]],Table1[[#This Row],[ID ROW]]+INT((Table1[[#This Row],[ID ROW]]-1)/12)*2)</f>
        <v>25</v>
      </c>
      <c r="N126" s="10" t="str">
        <f t="shared" si="7"/>
        <v>RSR25B4</v>
      </c>
      <c r="O126" s="10">
        <f>IF(Table1[[#This Row],[ID ROW]]&lt;=12,1,INT((Table1[[#This Row],[ID ROW]]-1)/12)+1)</f>
        <v>2</v>
      </c>
      <c r="P126" s="10">
        <f>Table1[[#This Row],[ID ROW]]-((Table1[[#This Row],[SECT]]-1)*12)</f>
        <v>11</v>
      </c>
    </row>
    <row r="127" spans="1:16" ht="15.75" customHeight="1" x14ac:dyDescent="0.3">
      <c r="A127" s="6" t="s">
        <v>482</v>
      </c>
      <c r="B127" s="6" t="s">
        <v>483</v>
      </c>
      <c r="C127" s="6" t="s">
        <v>40</v>
      </c>
      <c r="F127" s="13" t="s">
        <v>481</v>
      </c>
      <c r="G127" s="8">
        <v>126</v>
      </c>
      <c r="H127" s="9" t="s">
        <v>21</v>
      </c>
      <c r="I127" s="9">
        <f t="shared" si="5"/>
        <v>23</v>
      </c>
      <c r="J127" s="9">
        <f t="shared" si="4"/>
        <v>5</v>
      </c>
      <c r="K127" s="10" t="str">
        <f t="shared" si="6"/>
        <v>S1R23B5</v>
      </c>
      <c r="L127" s="10" t="s">
        <v>22</v>
      </c>
      <c r="M127" s="10">
        <f>IF(Table1[[#This Row],[ID ROW]]&lt;=12,Table1[[#This Row],[ID ROW]],Table1[[#This Row],[ID ROW]]+INT((Table1[[#This Row],[ID ROW]]-1)/12)*2)</f>
        <v>25</v>
      </c>
      <c r="N127" s="10" t="str">
        <f t="shared" si="7"/>
        <v>RSR25B5</v>
      </c>
      <c r="O127" s="10">
        <f>IF(Table1[[#This Row],[ID ROW]]&lt;=12,1,INT((Table1[[#This Row],[ID ROW]]-1)/12)+1)</f>
        <v>2</v>
      </c>
      <c r="P127" s="10">
        <f>Table1[[#This Row],[ID ROW]]-((Table1[[#This Row],[SECT]]-1)*12)</f>
        <v>11</v>
      </c>
    </row>
    <row r="128" spans="1:16" ht="15.75" customHeight="1" x14ac:dyDescent="0.25">
      <c r="A128" s="6" t="s">
        <v>484</v>
      </c>
      <c r="B128" s="6" t="s">
        <v>485</v>
      </c>
      <c r="C128" s="6" t="s">
        <v>143</v>
      </c>
      <c r="D128" s="6" t="s">
        <v>50</v>
      </c>
      <c r="F128" s="7" t="s">
        <v>486</v>
      </c>
      <c r="G128" s="8">
        <v>127</v>
      </c>
      <c r="H128" s="9" t="s">
        <v>21</v>
      </c>
      <c r="I128" s="9">
        <f t="shared" si="5"/>
        <v>23</v>
      </c>
      <c r="J128" s="9">
        <f t="shared" si="4"/>
        <v>6</v>
      </c>
      <c r="K128" s="10" t="str">
        <f t="shared" si="6"/>
        <v>S1R23B6</v>
      </c>
      <c r="L128" s="10" t="s">
        <v>22</v>
      </c>
      <c r="M128" s="10">
        <f>IF(Table1[[#This Row],[ID ROW]]&lt;=12,Table1[[#This Row],[ID ROW]],Table1[[#This Row],[ID ROW]]+INT((Table1[[#This Row],[ID ROW]]-1)/12)*2)</f>
        <v>25</v>
      </c>
      <c r="N128" s="10" t="str">
        <f t="shared" si="7"/>
        <v>RSR25B6</v>
      </c>
      <c r="O128" s="10">
        <f>IF(Table1[[#This Row],[ID ROW]]&lt;=12,1,INT((Table1[[#This Row],[ID ROW]]-1)/12)+1)</f>
        <v>2</v>
      </c>
      <c r="P128" s="10">
        <f>Table1[[#This Row],[ID ROW]]-((Table1[[#This Row],[SECT]]-1)*12)</f>
        <v>11</v>
      </c>
    </row>
    <row r="129" spans="1:16" ht="15.75" customHeight="1" x14ac:dyDescent="0.3">
      <c r="A129" s="6" t="s">
        <v>487</v>
      </c>
      <c r="B129" s="6" t="s">
        <v>488</v>
      </c>
      <c r="C129" s="6" t="s">
        <v>489</v>
      </c>
      <c r="D129" s="6" t="s">
        <v>490</v>
      </c>
      <c r="F129" s="13" t="s">
        <v>491</v>
      </c>
      <c r="G129" s="8">
        <v>128</v>
      </c>
      <c r="H129" s="9" t="s">
        <v>21</v>
      </c>
      <c r="I129" s="9">
        <f t="shared" si="5"/>
        <v>24</v>
      </c>
      <c r="J129" s="9">
        <f t="shared" si="4"/>
        <v>1</v>
      </c>
      <c r="K129" s="10" t="str">
        <f t="shared" si="6"/>
        <v>S1R24B1</v>
      </c>
      <c r="L129" s="10" t="s">
        <v>22</v>
      </c>
      <c r="M129" s="10">
        <f>IF(Table1[[#This Row],[ID ROW]]&lt;=12,Table1[[#This Row],[ID ROW]],Table1[[#This Row],[ID ROW]]+INT((Table1[[#This Row],[ID ROW]]-1)/12)*2)</f>
        <v>26</v>
      </c>
      <c r="N129" s="10" t="str">
        <f t="shared" si="7"/>
        <v>RSR26B1</v>
      </c>
      <c r="O129" s="10">
        <f>IF(Table1[[#This Row],[ID ROW]]&lt;=12,1,INT((Table1[[#This Row],[ID ROW]]-1)/12)+1)</f>
        <v>2</v>
      </c>
      <c r="P129" s="10">
        <f>Table1[[#This Row],[ID ROW]]-((Table1[[#This Row],[SECT]]-1)*12)</f>
        <v>12</v>
      </c>
    </row>
    <row r="130" spans="1:16" ht="15.75" customHeight="1" x14ac:dyDescent="0.25">
      <c r="A130" s="6" t="s">
        <v>492</v>
      </c>
      <c r="F130" s="7" t="s">
        <v>493</v>
      </c>
      <c r="G130" s="8">
        <v>129</v>
      </c>
      <c r="H130" s="9" t="s">
        <v>21</v>
      </c>
      <c r="I130" s="9">
        <f t="shared" si="5"/>
        <v>24</v>
      </c>
      <c r="J130" s="9">
        <f t="shared" ref="J130:J193" si="8">IF(MOD(G130-1,11)&lt;6,(MOD(G130-1,11)+1-(5*FLOOR(MOD(G130-1,11),6))),(MOD(G130-1,11))-5)</f>
        <v>2</v>
      </c>
      <c r="K130" s="10" t="str">
        <f t="shared" si="6"/>
        <v>S1R24B2</v>
      </c>
      <c r="L130" s="10" t="s">
        <v>22</v>
      </c>
      <c r="M130" s="10">
        <f>IF(Table1[[#This Row],[ID ROW]]&lt;=12,Table1[[#This Row],[ID ROW]],Table1[[#This Row],[ID ROW]]+INT((Table1[[#This Row],[ID ROW]]-1)/12)*2)</f>
        <v>26</v>
      </c>
      <c r="N130" s="10" t="str">
        <f t="shared" si="7"/>
        <v>RSR26B2</v>
      </c>
      <c r="O130" s="10">
        <f>IF(Table1[[#This Row],[ID ROW]]&lt;=12,1,INT((Table1[[#This Row],[ID ROW]]-1)/12)+1)</f>
        <v>2</v>
      </c>
      <c r="P130" s="10">
        <f>Table1[[#This Row],[ID ROW]]-((Table1[[#This Row],[SECT]]-1)*12)</f>
        <v>12</v>
      </c>
    </row>
    <row r="131" spans="1:16" ht="15.75" customHeight="1" x14ac:dyDescent="0.3">
      <c r="A131" s="6" t="s">
        <v>494</v>
      </c>
      <c r="B131" s="6" t="s">
        <v>495</v>
      </c>
      <c r="C131" s="6" t="s">
        <v>496</v>
      </c>
      <c r="F131" s="13" t="s">
        <v>497</v>
      </c>
      <c r="G131" s="8">
        <v>130</v>
      </c>
      <c r="H131" s="9" t="s">
        <v>21</v>
      </c>
      <c r="I131" s="9">
        <f t="shared" ref="I131:I194" si="9">INT((G131-1)/11)*2 + IF(MOD(G131-1, 11) &lt; 6, 1, 2)</f>
        <v>24</v>
      </c>
      <c r="J131" s="9">
        <f t="shared" si="8"/>
        <v>3</v>
      </c>
      <c r="K131" s="10" t="str">
        <f t="shared" ref="K131:K194" si="10">H131&amp;"R"&amp;I131&amp;"B"&amp;J131</f>
        <v>S1R24B3</v>
      </c>
      <c r="L131" s="10" t="s">
        <v>22</v>
      </c>
      <c r="M131" s="10">
        <f>IF(Table1[[#This Row],[ID ROW]]&lt;=12,Table1[[#This Row],[ID ROW]],Table1[[#This Row],[ID ROW]]+INT((Table1[[#This Row],[ID ROW]]-1)/12)*2)</f>
        <v>26</v>
      </c>
      <c r="N131" s="10" t="str">
        <f t="shared" ref="N131:N194" si="11">L131&amp;"R"&amp;M131&amp;"B"&amp;J131</f>
        <v>RSR26B3</v>
      </c>
      <c r="O131" s="10">
        <f>IF(Table1[[#This Row],[ID ROW]]&lt;=12,1,INT((Table1[[#This Row],[ID ROW]]-1)/12)+1)</f>
        <v>2</v>
      </c>
      <c r="P131" s="10">
        <f>Table1[[#This Row],[ID ROW]]-((Table1[[#This Row],[SECT]]-1)*12)</f>
        <v>12</v>
      </c>
    </row>
    <row r="132" spans="1:16" ht="15.75" customHeight="1" x14ac:dyDescent="0.25">
      <c r="A132" s="6" t="s">
        <v>498</v>
      </c>
      <c r="B132" s="6" t="s">
        <v>499</v>
      </c>
      <c r="C132" s="6" t="s">
        <v>500</v>
      </c>
      <c r="F132" s="7" t="s">
        <v>497</v>
      </c>
      <c r="G132" s="8">
        <v>131</v>
      </c>
      <c r="H132" s="9" t="s">
        <v>21</v>
      </c>
      <c r="I132" s="9">
        <f t="shared" si="9"/>
        <v>24</v>
      </c>
      <c r="J132" s="9">
        <f t="shared" si="8"/>
        <v>4</v>
      </c>
      <c r="K132" s="10" t="str">
        <f t="shared" si="10"/>
        <v>S1R24B4</v>
      </c>
      <c r="L132" s="10" t="s">
        <v>22</v>
      </c>
      <c r="M132" s="10">
        <f>IF(Table1[[#This Row],[ID ROW]]&lt;=12,Table1[[#This Row],[ID ROW]],Table1[[#This Row],[ID ROW]]+INT((Table1[[#This Row],[ID ROW]]-1)/12)*2)</f>
        <v>26</v>
      </c>
      <c r="N132" s="10" t="str">
        <f t="shared" si="11"/>
        <v>RSR26B4</v>
      </c>
      <c r="O132" s="10">
        <f>IF(Table1[[#This Row],[ID ROW]]&lt;=12,1,INT((Table1[[#This Row],[ID ROW]]-1)/12)+1)</f>
        <v>2</v>
      </c>
      <c r="P132" s="10">
        <f>Table1[[#This Row],[ID ROW]]-((Table1[[#This Row],[SECT]]-1)*12)</f>
        <v>12</v>
      </c>
    </row>
    <row r="133" spans="1:16" ht="15.75" customHeight="1" x14ac:dyDescent="0.3">
      <c r="A133" s="6" t="s">
        <v>105</v>
      </c>
      <c r="B133" s="6" t="s">
        <v>234</v>
      </c>
      <c r="C133" s="6" t="s">
        <v>105</v>
      </c>
      <c r="D133" s="6" t="s">
        <v>501</v>
      </c>
      <c r="F133" s="13" t="s">
        <v>502</v>
      </c>
      <c r="G133" s="8">
        <v>132</v>
      </c>
      <c r="H133" s="9" t="s">
        <v>21</v>
      </c>
      <c r="I133" s="9">
        <f t="shared" si="9"/>
        <v>24</v>
      </c>
      <c r="J133" s="9">
        <f t="shared" si="8"/>
        <v>5</v>
      </c>
      <c r="K133" s="10" t="str">
        <f t="shared" si="10"/>
        <v>S1R24B5</v>
      </c>
      <c r="L133" s="10" t="s">
        <v>22</v>
      </c>
      <c r="M133" s="10">
        <f>IF(Table1[[#This Row],[ID ROW]]&lt;=12,Table1[[#This Row],[ID ROW]],Table1[[#This Row],[ID ROW]]+INT((Table1[[#This Row],[ID ROW]]-1)/12)*2)</f>
        <v>26</v>
      </c>
      <c r="N133" s="10" t="str">
        <f t="shared" si="11"/>
        <v>RSR26B5</v>
      </c>
      <c r="O133" s="10">
        <f>IF(Table1[[#This Row],[ID ROW]]&lt;=12,1,INT((Table1[[#This Row],[ID ROW]]-1)/12)+1)</f>
        <v>2</v>
      </c>
      <c r="P133" s="10">
        <f>Table1[[#This Row],[ID ROW]]-((Table1[[#This Row],[SECT]]-1)*12)</f>
        <v>12</v>
      </c>
    </row>
    <row r="134" spans="1:16" ht="15.75" customHeight="1" x14ac:dyDescent="0.25">
      <c r="A134" s="6" t="s">
        <v>503</v>
      </c>
      <c r="B134" s="6" t="s">
        <v>504</v>
      </c>
      <c r="C134" s="6" t="s">
        <v>505</v>
      </c>
      <c r="D134" s="6" t="s">
        <v>67</v>
      </c>
      <c r="F134" s="7" t="s">
        <v>506</v>
      </c>
      <c r="G134" s="8">
        <v>133</v>
      </c>
      <c r="H134" s="9" t="s">
        <v>21</v>
      </c>
      <c r="I134" s="9">
        <f t="shared" si="9"/>
        <v>25</v>
      </c>
      <c r="J134" s="9">
        <f t="shared" si="8"/>
        <v>1</v>
      </c>
      <c r="K134" s="10" t="str">
        <f t="shared" si="10"/>
        <v>S1R25B1</v>
      </c>
      <c r="L134" s="10" t="s">
        <v>22</v>
      </c>
      <c r="M134" s="10">
        <f>IF(Table1[[#This Row],[ID ROW]]&lt;=12,Table1[[#This Row],[ID ROW]],Table1[[#This Row],[ID ROW]]+INT((Table1[[#This Row],[ID ROW]]-1)/12)*2)</f>
        <v>29</v>
      </c>
      <c r="N134" s="10" t="str">
        <f t="shared" si="11"/>
        <v>RSR29B1</v>
      </c>
      <c r="O134" s="10">
        <f>IF(Table1[[#This Row],[ID ROW]]&lt;=12,1,INT((Table1[[#This Row],[ID ROW]]-1)/12)+1)</f>
        <v>3</v>
      </c>
      <c r="P134" s="10">
        <f>Table1[[#This Row],[ID ROW]]-((Table1[[#This Row],[SECT]]-1)*12)</f>
        <v>1</v>
      </c>
    </row>
    <row r="135" spans="1:16" ht="15.75" customHeight="1" x14ac:dyDescent="0.3">
      <c r="A135" s="6" t="s">
        <v>507</v>
      </c>
      <c r="B135" s="6" t="s">
        <v>508</v>
      </c>
      <c r="C135" s="6" t="s">
        <v>509</v>
      </c>
      <c r="D135" s="6" t="s">
        <v>510</v>
      </c>
      <c r="F135" s="13" t="s">
        <v>511</v>
      </c>
      <c r="G135" s="8">
        <v>134</v>
      </c>
      <c r="H135" s="9" t="s">
        <v>21</v>
      </c>
      <c r="I135" s="9">
        <f t="shared" si="9"/>
        <v>25</v>
      </c>
      <c r="J135" s="9">
        <f t="shared" si="8"/>
        <v>2</v>
      </c>
      <c r="K135" s="10" t="str">
        <f t="shared" si="10"/>
        <v>S1R25B2</v>
      </c>
      <c r="L135" s="10" t="s">
        <v>22</v>
      </c>
      <c r="M135" s="10">
        <f>IF(Table1[[#This Row],[ID ROW]]&lt;=12,Table1[[#This Row],[ID ROW]],Table1[[#This Row],[ID ROW]]+INT((Table1[[#This Row],[ID ROW]]-1)/12)*2)</f>
        <v>29</v>
      </c>
      <c r="N135" s="10" t="str">
        <f t="shared" si="11"/>
        <v>RSR29B2</v>
      </c>
      <c r="O135" s="10">
        <f>IF(Table1[[#This Row],[ID ROW]]&lt;=12,1,INT((Table1[[#This Row],[ID ROW]]-1)/12)+1)</f>
        <v>3</v>
      </c>
      <c r="P135" s="10">
        <f>Table1[[#This Row],[ID ROW]]-((Table1[[#This Row],[SECT]]-1)*12)</f>
        <v>1</v>
      </c>
    </row>
    <row r="136" spans="1:16" ht="15.75" customHeight="1" x14ac:dyDescent="0.25">
      <c r="A136" s="6" t="s">
        <v>512</v>
      </c>
      <c r="B136" s="6" t="s">
        <v>513</v>
      </c>
      <c r="C136" s="6" t="s">
        <v>514</v>
      </c>
      <c r="D136" s="6" t="s">
        <v>515</v>
      </c>
      <c r="F136" s="7" t="s">
        <v>511</v>
      </c>
      <c r="G136" s="8">
        <v>135</v>
      </c>
      <c r="H136" s="9" t="s">
        <v>21</v>
      </c>
      <c r="I136" s="9">
        <f t="shared" si="9"/>
        <v>25</v>
      </c>
      <c r="J136" s="9">
        <f t="shared" si="8"/>
        <v>3</v>
      </c>
      <c r="K136" s="10" t="str">
        <f t="shared" si="10"/>
        <v>S1R25B3</v>
      </c>
      <c r="L136" s="10" t="s">
        <v>22</v>
      </c>
      <c r="M136" s="10">
        <f>IF(Table1[[#This Row],[ID ROW]]&lt;=12,Table1[[#This Row],[ID ROW]],Table1[[#This Row],[ID ROW]]+INT((Table1[[#This Row],[ID ROW]]-1)/12)*2)</f>
        <v>29</v>
      </c>
      <c r="N136" s="10" t="str">
        <f t="shared" si="11"/>
        <v>RSR29B3</v>
      </c>
      <c r="O136" s="10">
        <f>IF(Table1[[#This Row],[ID ROW]]&lt;=12,1,INT((Table1[[#This Row],[ID ROW]]-1)/12)+1)</f>
        <v>3</v>
      </c>
      <c r="P136" s="10">
        <f>Table1[[#This Row],[ID ROW]]-((Table1[[#This Row],[SECT]]-1)*12)</f>
        <v>1</v>
      </c>
    </row>
    <row r="137" spans="1:16" ht="15.75" customHeight="1" x14ac:dyDescent="0.3">
      <c r="A137" s="6" t="s">
        <v>516</v>
      </c>
      <c r="B137" s="6" t="s">
        <v>517</v>
      </c>
      <c r="C137" s="6" t="s">
        <v>518</v>
      </c>
      <c r="D137" s="6" t="s">
        <v>519</v>
      </c>
      <c r="F137" s="13" t="s">
        <v>511</v>
      </c>
      <c r="G137" s="8">
        <v>136</v>
      </c>
      <c r="H137" s="9" t="s">
        <v>21</v>
      </c>
      <c r="I137" s="9">
        <f t="shared" si="9"/>
        <v>25</v>
      </c>
      <c r="J137" s="9">
        <f t="shared" si="8"/>
        <v>4</v>
      </c>
      <c r="K137" s="10" t="str">
        <f t="shared" si="10"/>
        <v>S1R25B4</v>
      </c>
      <c r="L137" s="10" t="s">
        <v>22</v>
      </c>
      <c r="M137" s="10">
        <f>IF(Table1[[#This Row],[ID ROW]]&lt;=12,Table1[[#This Row],[ID ROW]],Table1[[#This Row],[ID ROW]]+INT((Table1[[#This Row],[ID ROW]]-1)/12)*2)</f>
        <v>29</v>
      </c>
      <c r="N137" s="10" t="str">
        <f t="shared" si="11"/>
        <v>RSR29B4</v>
      </c>
      <c r="O137" s="10">
        <f>IF(Table1[[#This Row],[ID ROW]]&lt;=12,1,INT((Table1[[#This Row],[ID ROW]]-1)/12)+1)</f>
        <v>3</v>
      </c>
      <c r="P137" s="10">
        <f>Table1[[#This Row],[ID ROW]]-((Table1[[#This Row],[SECT]]-1)*12)</f>
        <v>1</v>
      </c>
    </row>
    <row r="138" spans="1:16" ht="15.75" customHeight="1" x14ac:dyDescent="0.25">
      <c r="A138" s="6" t="s">
        <v>520</v>
      </c>
      <c r="B138" s="6" t="s">
        <v>517</v>
      </c>
      <c r="C138" s="6" t="s">
        <v>521</v>
      </c>
      <c r="D138" s="6" t="s">
        <v>522</v>
      </c>
      <c r="F138" s="7" t="s">
        <v>511</v>
      </c>
      <c r="G138" s="8">
        <v>137</v>
      </c>
      <c r="H138" s="9" t="s">
        <v>21</v>
      </c>
      <c r="I138" s="9">
        <f t="shared" si="9"/>
        <v>25</v>
      </c>
      <c r="J138" s="9">
        <f t="shared" si="8"/>
        <v>5</v>
      </c>
      <c r="K138" s="10" t="str">
        <f t="shared" si="10"/>
        <v>S1R25B5</v>
      </c>
      <c r="L138" s="10" t="s">
        <v>22</v>
      </c>
      <c r="M138" s="10">
        <f>IF(Table1[[#This Row],[ID ROW]]&lt;=12,Table1[[#This Row],[ID ROW]],Table1[[#This Row],[ID ROW]]+INT((Table1[[#This Row],[ID ROW]]-1)/12)*2)</f>
        <v>29</v>
      </c>
      <c r="N138" s="10" t="str">
        <f t="shared" si="11"/>
        <v>RSR29B5</v>
      </c>
      <c r="O138" s="10">
        <f>IF(Table1[[#This Row],[ID ROW]]&lt;=12,1,INT((Table1[[#This Row],[ID ROW]]-1)/12)+1)</f>
        <v>3</v>
      </c>
      <c r="P138" s="10">
        <f>Table1[[#This Row],[ID ROW]]-((Table1[[#This Row],[SECT]]-1)*12)</f>
        <v>1</v>
      </c>
    </row>
    <row r="139" spans="1:16" ht="15.75" customHeight="1" x14ac:dyDescent="0.3">
      <c r="A139" s="6" t="s">
        <v>523</v>
      </c>
      <c r="B139" s="6" t="s">
        <v>524</v>
      </c>
      <c r="C139" s="6" t="s">
        <v>525</v>
      </c>
      <c r="D139" s="6" t="s">
        <v>526</v>
      </c>
      <c r="F139" s="13" t="s">
        <v>527</v>
      </c>
      <c r="G139" s="8">
        <v>138</v>
      </c>
      <c r="H139" s="9" t="s">
        <v>21</v>
      </c>
      <c r="I139" s="9">
        <f t="shared" si="9"/>
        <v>25</v>
      </c>
      <c r="J139" s="9">
        <f t="shared" si="8"/>
        <v>6</v>
      </c>
      <c r="K139" s="10" t="str">
        <f t="shared" si="10"/>
        <v>S1R25B6</v>
      </c>
      <c r="L139" s="10" t="s">
        <v>22</v>
      </c>
      <c r="M139" s="10">
        <f>IF(Table1[[#This Row],[ID ROW]]&lt;=12,Table1[[#This Row],[ID ROW]],Table1[[#This Row],[ID ROW]]+INT((Table1[[#This Row],[ID ROW]]-1)/12)*2)</f>
        <v>29</v>
      </c>
      <c r="N139" s="10" t="str">
        <f t="shared" si="11"/>
        <v>RSR29B6</v>
      </c>
      <c r="O139" s="10">
        <f>IF(Table1[[#This Row],[ID ROW]]&lt;=12,1,INT((Table1[[#This Row],[ID ROW]]-1)/12)+1)</f>
        <v>3</v>
      </c>
      <c r="P139" s="10">
        <f>Table1[[#This Row],[ID ROW]]-((Table1[[#This Row],[SECT]]-1)*12)</f>
        <v>1</v>
      </c>
    </row>
    <row r="140" spans="1:16" ht="15.75" customHeight="1" x14ac:dyDescent="0.25">
      <c r="A140" s="6" t="s">
        <v>528</v>
      </c>
      <c r="B140" s="6" t="s">
        <v>517</v>
      </c>
      <c r="C140" s="6" t="s">
        <v>52</v>
      </c>
      <c r="F140" s="7" t="s">
        <v>529</v>
      </c>
      <c r="G140" s="8">
        <v>139</v>
      </c>
      <c r="H140" s="9" t="s">
        <v>21</v>
      </c>
      <c r="I140" s="9">
        <f t="shared" si="9"/>
        <v>26</v>
      </c>
      <c r="J140" s="9">
        <f t="shared" si="8"/>
        <v>1</v>
      </c>
      <c r="K140" s="10" t="str">
        <f t="shared" si="10"/>
        <v>S1R26B1</v>
      </c>
      <c r="L140" s="10" t="s">
        <v>22</v>
      </c>
      <c r="M140" s="10">
        <f>IF(Table1[[#This Row],[ID ROW]]&lt;=12,Table1[[#This Row],[ID ROW]],Table1[[#This Row],[ID ROW]]+INT((Table1[[#This Row],[ID ROW]]-1)/12)*2)</f>
        <v>30</v>
      </c>
      <c r="N140" s="10" t="str">
        <f t="shared" si="11"/>
        <v>RSR30B1</v>
      </c>
      <c r="O140" s="10">
        <f>IF(Table1[[#This Row],[ID ROW]]&lt;=12,1,INT((Table1[[#This Row],[ID ROW]]-1)/12)+1)</f>
        <v>3</v>
      </c>
      <c r="P140" s="10">
        <f>Table1[[#This Row],[ID ROW]]-((Table1[[#This Row],[SECT]]-1)*12)</f>
        <v>2</v>
      </c>
    </row>
    <row r="141" spans="1:16" ht="15.75" customHeight="1" x14ac:dyDescent="0.3">
      <c r="A141" s="6" t="s">
        <v>235</v>
      </c>
      <c r="B141" s="6" t="s">
        <v>530</v>
      </c>
      <c r="C141" s="6" t="s">
        <v>531</v>
      </c>
      <c r="F141" s="13" t="s">
        <v>529</v>
      </c>
      <c r="G141" s="8">
        <v>140</v>
      </c>
      <c r="H141" s="9" t="s">
        <v>21</v>
      </c>
      <c r="I141" s="9">
        <f t="shared" si="9"/>
        <v>26</v>
      </c>
      <c r="J141" s="9">
        <f t="shared" si="8"/>
        <v>2</v>
      </c>
      <c r="K141" s="10" t="str">
        <f t="shared" si="10"/>
        <v>S1R26B2</v>
      </c>
      <c r="L141" s="10" t="s">
        <v>22</v>
      </c>
      <c r="M141" s="10">
        <f>IF(Table1[[#This Row],[ID ROW]]&lt;=12,Table1[[#This Row],[ID ROW]],Table1[[#This Row],[ID ROW]]+INT((Table1[[#This Row],[ID ROW]]-1)/12)*2)</f>
        <v>30</v>
      </c>
      <c r="N141" s="10" t="str">
        <f t="shared" si="11"/>
        <v>RSR30B2</v>
      </c>
      <c r="O141" s="10">
        <f>IF(Table1[[#This Row],[ID ROW]]&lt;=12,1,INT((Table1[[#This Row],[ID ROW]]-1)/12)+1)</f>
        <v>3</v>
      </c>
      <c r="P141" s="10">
        <f>Table1[[#This Row],[ID ROW]]-((Table1[[#This Row],[SECT]]-1)*12)</f>
        <v>2</v>
      </c>
    </row>
    <row r="142" spans="1:16" ht="15.75" customHeight="1" x14ac:dyDescent="0.25">
      <c r="A142" s="6" t="s">
        <v>532</v>
      </c>
      <c r="B142" s="6" t="s">
        <v>533</v>
      </c>
      <c r="C142" s="6" t="s">
        <v>364</v>
      </c>
      <c r="F142" s="7" t="s">
        <v>534</v>
      </c>
      <c r="G142" s="8">
        <v>141</v>
      </c>
      <c r="H142" s="9" t="s">
        <v>21</v>
      </c>
      <c r="I142" s="9">
        <f t="shared" si="9"/>
        <v>26</v>
      </c>
      <c r="J142" s="9">
        <f t="shared" si="8"/>
        <v>3</v>
      </c>
      <c r="K142" s="10" t="str">
        <f t="shared" si="10"/>
        <v>S1R26B3</v>
      </c>
      <c r="L142" s="10" t="s">
        <v>22</v>
      </c>
      <c r="M142" s="10">
        <f>IF(Table1[[#This Row],[ID ROW]]&lt;=12,Table1[[#This Row],[ID ROW]],Table1[[#This Row],[ID ROW]]+INT((Table1[[#This Row],[ID ROW]]-1)/12)*2)</f>
        <v>30</v>
      </c>
      <c r="N142" s="10" t="str">
        <f t="shared" si="11"/>
        <v>RSR30B3</v>
      </c>
      <c r="O142" s="10">
        <f>IF(Table1[[#This Row],[ID ROW]]&lt;=12,1,INT((Table1[[#This Row],[ID ROW]]-1)/12)+1)</f>
        <v>3</v>
      </c>
      <c r="P142" s="10">
        <f>Table1[[#This Row],[ID ROW]]-((Table1[[#This Row],[SECT]]-1)*12)</f>
        <v>2</v>
      </c>
    </row>
    <row r="143" spans="1:16" ht="15.75" customHeight="1" x14ac:dyDescent="0.3">
      <c r="A143" s="6" t="s">
        <v>535</v>
      </c>
      <c r="B143" s="6" t="s">
        <v>536</v>
      </c>
      <c r="C143" s="6" t="s">
        <v>537</v>
      </c>
      <c r="F143" s="13" t="s">
        <v>538</v>
      </c>
      <c r="G143" s="8">
        <v>142</v>
      </c>
      <c r="H143" s="9" t="s">
        <v>21</v>
      </c>
      <c r="I143" s="9">
        <f t="shared" si="9"/>
        <v>26</v>
      </c>
      <c r="J143" s="9">
        <f t="shared" si="8"/>
        <v>4</v>
      </c>
      <c r="K143" s="10" t="str">
        <f t="shared" si="10"/>
        <v>S1R26B4</v>
      </c>
      <c r="L143" s="10" t="s">
        <v>22</v>
      </c>
      <c r="M143" s="10">
        <f>IF(Table1[[#This Row],[ID ROW]]&lt;=12,Table1[[#This Row],[ID ROW]],Table1[[#This Row],[ID ROW]]+INT((Table1[[#This Row],[ID ROW]]-1)/12)*2)</f>
        <v>30</v>
      </c>
      <c r="N143" s="10" t="str">
        <f t="shared" si="11"/>
        <v>RSR30B4</v>
      </c>
      <c r="O143" s="10">
        <f>IF(Table1[[#This Row],[ID ROW]]&lt;=12,1,INT((Table1[[#This Row],[ID ROW]]-1)/12)+1)</f>
        <v>3</v>
      </c>
      <c r="P143" s="10">
        <f>Table1[[#This Row],[ID ROW]]-((Table1[[#This Row],[SECT]]-1)*12)</f>
        <v>2</v>
      </c>
    </row>
    <row r="144" spans="1:16" ht="15.75" customHeight="1" x14ac:dyDescent="0.25">
      <c r="A144" s="6" t="s">
        <v>539</v>
      </c>
      <c r="B144" s="6" t="s">
        <v>117</v>
      </c>
      <c r="C144" s="6" t="s">
        <v>540</v>
      </c>
      <c r="F144" s="7" t="s">
        <v>541</v>
      </c>
      <c r="G144" s="8">
        <v>143</v>
      </c>
      <c r="H144" s="9" t="s">
        <v>21</v>
      </c>
      <c r="I144" s="9">
        <f t="shared" si="9"/>
        <v>26</v>
      </c>
      <c r="J144" s="9">
        <f t="shared" si="8"/>
        <v>5</v>
      </c>
      <c r="K144" s="10" t="str">
        <f t="shared" si="10"/>
        <v>S1R26B5</v>
      </c>
      <c r="L144" s="10" t="s">
        <v>22</v>
      </c>
      <c r="M144" s="10">
        <f>IF(Table1[[#This Row],[ID ROW]]&lt;=12,Table1[[#This Row],[ID ROW]],Table1[[#This Row],[ID ROW]]+INT((Table1[[#This Row],[ID ROW]]-1)/12)*2)</f>
        <v>30</v>
      </c>
      <c r="N144" s="10" t="str">
        <f t="shared" si="11"/>
        <v>RSR30B5</v>
      </c>
      <c r="O144" s="10">
        <f>IF(Table1[[#This Row],[ID ROW]]&lt;=12,1,INT((Table1[[#This Row],[ID ROW]]-1)/12)+1)</f>
        <v>3</v>
      </c>
      <c r="P144" s="10">
        <f>Table1[[#This Row],[ID ROW]]-((Table1[[#This Row],[SECT]]-1)*12)</f>
        <v>2</v>
      </c>
    </row>
    <row r="145" spans="1:16" ht="15.75" customHeight="1" x14ac:dyDescent="0.3">
      <c r="A145" s="6" t="s">
        <v>542</v>
      </c>
      <c r="B145" s="6" t="s">
        <v>543</v>
      </c>
      <c r="C145" s="6" t="s">
        <v>544</v>
      </c>
      <c r="F145" s="13" t="s">
        <v>545</v>
      </c>
      <c r="G145" s="8">
        <v>144</v>
      </c>
      <c r="H145" s="9" t="s">
        <v>21</v>
      </c>
      <c r="I145" s="9">
        <f t="shared" si="9"/>
        <v>27</v>
      </c>
      <c r="J145" s="9">
        <f t="shared" si="8"/>
        <v>1</v>
      </c>
      <c r="K145" s="10" t="str">
        <f t="shared" si="10"/>
        <v>S1R27B1</v>
      </c>
      <c r="L145" s="10" t="s">
        <v>22</v>
      </c>
      <c r="M145" s="10">
        <f>IF(Table1[[#This Row],[ID ROW]]&lt;=12,Table1[[#This Row],[ID ROW]],Table1[[#This Row],[ID ROW]]+INT((Table1[[#This Row],[ID ROW]]-1)/12)*2)</f>
        <v>31</v>
      </c>
      <c r="N145" s="10" t="str">
        <f t="shared" si="11"/>
        <v>RSR31B1</v>
      </c>
      <c r="O145" s="10">
        <f>IF(Table1[[#This Row],[ID ROW]]&lt;=12,1,INT((Table1[[#This Row],[ID ROW]]-1)/12)+1)</f>
        <v>3</v>
      </c>
      <c r="P145" s="10">
        <f>Table1[[#This Row],[ID ROW]]-((Table1[[#This Row],[SECT]]-1)*12)</f>
        <v>3</v>
      </c>
    </row>
    <row r="146" spans="1:16" ht="15.75" customHeight="1" x14ac:dyDescent="0.25">
      <c r="A146" s="6" t="s">
        <v>546</v>
      </c>
      <c r="B146" s="6" t="s">
        <v>547</v>
      </c>
      <c r="C146" s="6" t="s">
        <v>548</v>
      </c>
      <c r="D146" s="6" t="s">
        <v>549</v>
      </c>
      <c r="F146" s="7" t="s">
        <v>550</v>
      </c>
      <c r="G146" s="8">
        <v>145</v>
      </c>
      <c r="H146" s="9" t="s">
        <v>21</v>
      </c>
      <c r="I146" s="9">
        <f t="shared" si="9"/>
        <v>27</v>
      </c>
      <c r="J146" s="9">
        <f t="shared" si="8"/>
        <v>2</v>
      </c>
      <c r="K146" s="10" t="str">
        <f t="shared" si="10"/>
        <v>S1R27B2</v>
      </c>
      <c r="L146" s="10" t="s">
        <v>22</v>
      </c>
      <c r="M146" s="10">
        <f>IF(Table1[[#This Row],[ID ROW]]&lt;=12,Table1[[#This Row],[ID ROW]],Table1[[#This Row],[ID ROW]]+INT((Table1[[#This Row],[ID ROW]]-1)/12)*2)</f>
        <v>31</v>
      </c>
      <c r="N146" s="10" t="str">
        <f t="shared" si="11"/>
        <v>RSR31B2</v>
      </c>
      <c r="O146" s="10">
        <f>IF(Table1[[#This Row],[ID ROW]]&lt;=12,1,INT((Table1[[#This Row],[ID ROW]]-1)/12)+1)</f>
        <v>3</v>
      </c>
      <c r="P146" s="10">
        <f>Table1[[#This Row],[ID ROW]]-((Table1[[#This Row],[SECT]]-1)*12)</f>
        <v>3</v>
      </c>
    </row>
    <row r="147" spans="1:16" ht="15.75" customHeight="1" x14ac:dyDescent="0.3">
      <c r="A147" s="6" t="s">
        <v>551</v>
      </c>
      <c r="B147" s="6" t="s">
        <v>552</v>
      </c>
      <c r="D147" s="6" t="s">
        <v>553</v>
      </c>
      <c r="F147" s="13" t="s">
        <v>554</v>
      </c>
      <c r="G147" s="8">
        <v>146</v>
      </c>
      <c r="H147" s="9" t="s">
        <v>21</v>
      </c>
      <c r="I147" s="9">
        <f t="shared" si="9"/>
        <v>27</v>
      </c>
      <c r="J147" s="9">
        <f t="shared" si="8"/>
        <v>3</v>
      </c>
      <c r="K147" s="10" t="str">
        <f t="shared" si="10"/>
        <v>S1R27B3</v>
      </c>
      <c r="L147" s="10" t="s">
        <v>22</v>
      </c>
      <c r="M147" s="10">
        <f>IF(Table1[[#This Row],[ID ROW]]&lt;=12,Table1[[#This Row],[ID ROW]],Table1[[#This Row],[ID ROW]]+INT((Table1[[#This Row],[ID ROW]]-1)/12)*2)</f>
        <v>31</v>
      </c>
      <c r="N147" s="10" t="str">
        <f t="shared" si="11"/>
        <v>RSR31B3</v>
      </c>
      <c r="O147" s="10">
        <f>IF(Table1[[#This Row],[ID ROW]]&lt;=12,1,INT((Table1[[#This Row],[ID ROW]]-1)/12)+1)</f>
        <v>3</v>
      </c>
      <c r="P147" s="10">
        <f>Table1[[#This Row],[ID ROW]]-((Table1[[#This Row],[SECT]]-1)*12)</f>
        <v>3</v>
      </c>
    </row>
    <row r="148" spans="1:16" ht="15.75" customHeight="1" x14ac:dyDescent="0.25">
      <c r="A148" s="6" t="s">
        <v>234</v>
      </c>
      <c r="B148" s="6" t="s">
        <v>555</v>
      </c>
      <c r="C148" s="6" t="s">
        <v>556</v>
      </c>
      <c r="F148" s="7" t="s">
        <v>557</v>
      </c>
      <c r="G148" s="8">
        <v>147</v>
      </c>
      <c r="H148" s="9" t="s">
        <v>21</v>
      </c>
      <c r="I148" s="9">
        <f t="shared" si="9"/>
        <v>27</v>
      </c>
      <c r="J148" s="9">
        <f t="shared" si="8"/>
        <v>4</v>
      </c>
      <c r="K148" s="10" t="str">
        <f t="shared" si="10"/>
        <v>S1R27B4</v>
      </c>
      <c r="L148" s="10" t="s">
        <v>22</v>
      </c>
      <c r="M148" s="10">
        <f>IF(Table1[[#This Row],[ID ROW]]&lt;=12,Table1[[#This Row],[ID ROW]],Table1[[#This Row],[ID ROW]]+INT((Table1[[#This Row],[ID ROW]]-1)/12)*2)</f>
        <v>31</v>
      </c>
      <c r="N148" s="10" t="str">
        <f t="shared" si="11"/>
        <v>RSR31B4</v>
      </c>
      <c r="O148" s="10">
        <f>IF(Table1[[#This Row],[ID ROW]]&lt;=12,1,INT((Table1[[#This Row],[ID ROW]]-1)/12)+1)</f>
        <v>3</v>
      </c>
      <c r="P148" s="10">
        <f>Table1[[#This Row],[ID ROW]]-((Table1[[#This Row],[SECT]]-1)*12)</f>
        <v>3</v>
      </c>
    </row>
    <row r="149" spans="1:16" ht="15.75" customHeight="1" x14ac:dyDescent="0.3">
      <c r="A149" s="6" t="s">
        <v>558</v>
      </c>
      <c r="B149" s="6" t="s">
        <v>559</v>
      </c>
      <c r="C149" s="6" t="s">
        <v>560</v>
      </c>
      <c r="F149" s="13" t="s">
        <v>561</v>
      </c>
      <c r="G149" s="8">
        <v>148</v>
      </c>
      <c r="H149" s="9" t="s">
        <v>21</v>
      </c>
      <c r="I149" s="9">
        <f t="shared" si="9"/>
        <v>27</v>
      </c>
      <c r="J149" s="9">
        <f t="shared" si="8"/>
        <v>5</v>
      </c>
      <c r="K149" s="10" t="str">
        <f t="shared" si="10"/>
        <v>S1R27B5</v>
      </c>
      <c r="L149" s="10" t="s">
        <v>22</v>
      </c>
      <c r="M149" s="10">
        <f>IF(Table1[[#This Row],[ID ROW]]&lt;=12,Table1[[#This Row],[ID ROW]],Table1[[#This Row],[ID ROW]]+INT((Table1[[#This Row],[ID ROW]]-1)/12)*2)</f>
        <v>31</v>
      </c>
      <c r="N149" s="10" t="str">
        <f t="shared" si="11"/>
        <v>RSR31B5</v>
      </c>
      <c r="O149" s="10">
        <f>IF(Table1[[#This Row],[ID ROW]]&lt;=12,1,INT((Table1[[#This Row],[ID ROW]]-1)/12)+1)</f>
        <v>3</v>
      </c>
      <c r="P149" s="10">
        <f>Table1[[#This Row],[ID ROW]]-((Table1[[#This Row],[SECT]]-1)*12)</f>
        <v>3</v>
      </c>
    </row>
    <row r="150" spans="1:16" ht="15.75" customHeight="1" x14ac:dyDescent="0.25">
      <c r="A150" s="6" t="s">
        <v>562</v>
      </c>
      <c r="B150" s="6" t="s">
        <v>563</v>
      </c>
      <c r="C150" s="6" t="s">
        <v>564</v>
      </c>
      <c r="F150" s="7" t="s">
        <v>565</v>
      </c>
      <c r="G150" s="8">
        <v>149</v>
      </c>
      <c r="H150" s="9" t="s">
        <v>21</v>
      </c>
      <c r="I150" s="9">
        <f t="shared" si="9"/>
        <v>27</v>
      </c>
      <c r="J150" s="9">
        <f t="shared" si="8"/>
        <v>6</v>
      </c>
      <c r="K150" s="10" t="str">
        <f t="shared" si="10"/>
        <v>S1R27B6</v>
      </c>
      <c r="L150" s="10" t="s">
        <v>22</v>
      </c>
      <c r="M150" s="10">
        <f>IF(Table1[[#This Row],[ID ROW]]&lt;=12,Table1[[#This Row],[ID ROW]],Table1[[#This Row],[ID ROW]]+INT((Table1[[#This Row],[ID ROW]]-1)/12)*2)</f>
        <v>31</v>
      </c>
      <c r="N150" s="10" t="str">
        <f t="shared" si="11"/>
        <v>RSR31B6</v>
      </c>
      <c r="O150" s="10">
        <f>IF(Table1[[#This Row],[ID ROW]]&lt;=12,1,INT((Table1[[#This Row],[ID ROW]]-1)/12)+1)</f>
        <v>3</v>
      </c>
      <c r="P150" s="10">
        <f>Table1[[#This Row],[ID ROW]]-((Table1[[#This Row],[SECT]]-1)*12)</f>
        <v>3</v>
      </c>
    </row>
    <row r="151" spans="1:16" ht="15.75" customHeight="1" x14ac:dyDescent="0.3">
      <c r="A151" s="6" t="s">
        <v>566</v>
      </c>
      <c r="B151" s="6" t="s">
        <v>567</v>
      </c>
      <c r="C151" s="6" t="s">
        <v>568</v>
      </c>
      <c r="D151" s="6" t="s">
        <v>412</v>
      </c>
      <c r="F151" s="13" t="s">
        <v>569</v>
      </c>
      <c r="G151" s="8">
        <v>150</v>
      </c>
      <c r="H151" s="9" t="s">
        <v>21</v>
      </c>
      <c r="I151" s="9">
        <f t="shared" si="9"/>
        <v>28</v>
      </c>
      <c r="J151" s="9">
        <f t="shared" si="8"/>
        <v>1</v>
      </c>
      <c r="K151" s="10" t="str">
        <f t="shared" si="10"/>
        <v>S1R28B1</v>
      </c>
      <c r="L151" s="10" t="s">
        <v>22</v>
      </c>
      <c r="M151" s="10">
        <f>IF(Table1[[#This Row],[ID ROW]]&lt;=12,Table1[[#This Row],[ID ROW]],Table1[[#This Row],[ID ROW]]+INT((Table1[[#This Row],[ID ROW]]-1)/12)*2)</f>
        <v>32</v>
      </c>
      <c r="N151" s="10" t="str">
        <f t="shared" si="11"/>
        <v>RSR32B1</v>
      </c>
      <c r="O151" s="10">
        <f>IF(Table1[[#This Row],[ID ROW]]&lt;=12,1,INT((Table1[[#This Row],[ID ROW]]-1)/12)+1)</f>
        <v>3</v>
      </c>
      <c r="P151" s="10">
        <f>Table1[[#This Row],[ID ROW]]-((Table1[[#This Row],[SECT]]-1)*12)</f>
        <v>4</v>
      </c>
    </row>
    <row r="152" spans="1:16" ht="15.75" customHeight="1" x14ac:dyDescent="0.25">
      <c r="A152" s="6" t="s">
        <v>570</v>
      </c>
      <c r="B152" s="6" t="s">
        <v>571</v>
      </c>
      <c r="C152" s="6" t="s">
        <v>572</v>
      </c>
      <c r="F152" s="7" t="s">
        <v>573</v>
      </c>
      <c r="G152" s="8">
        <v>151</v>
      </c>
      <c r="H152" s="9" t="s">
        <v>21</v>
      </c>
      <c r="I152" s="9">
        <f t="shared" si="9"/>
        <v>28</v>
      </c>
      <c r="J152" s="9">
        <f t="shared" si="8"/>
        <v>2</v>
      </c>
      <c r="K152" s="10" t="str">
        <f t="shared" si="10"/>
        <v>S1R28B2</v>
      </c>
      <c r="L152" s="10" t="s">
        <v>22</v>
      </c>
      <c r="M152" s="10">
        <f>IF(Table1[[#This Row],[ID ROW]]&lt;=12,Table1[[#This Row],[ID ROW]],Table1[[#This Row],[ID ROW]]+INT((Table1[[#This Row],[ID ROW]]-1)/12)*2)</f>
        <v>32</v>
      </c>
      <c r="N152" s="10" t="str">
        <f t="shared" si="11"/>
        <v>RSR32B2</v>
      </c>
      <c r="O152" s="10">
        <f>IF(Table1[[#This Row],[ID ROW]]&lt;=12,1,INT((Table1[[#This Row],[ID ROW]]-1)/12)+1)</f>
        <v>3</v>
      </c>
      <c r="P152" s="10">
        <f>Table1[[#This Row],[ID ROW]]-((Table1[[#This Row],[SECT]]-1)*12)</f>
        <v>4</v>
      </c>
    </row>
    <row r="153" spans="1:16" ht="15.75" customHeight="1" x14ac:dyDescent="0.3">
      <c r="A153" s="6" t="s">
        <v>574</v>
      </c>
      <c r="B153" s="6" t="s">
        <v>165</v>
      </c>
      <c r="C153" s="6" t="s">
        <v>575</v>
      </c>
      <c r="F153" s="13" t="s">
        <v>576</v>
      </c>
      <c r="G153" s="8">
        <v>152</v>
      </c>
      <c r="H153" s="9" t="s">
        <v>21</v>
      </c>
      <c r="I153" s="9">
        <f t="shared" si="9"/>
        <v>28</v>
      </c>
      <c r="J153" s="9">
        <f t="shared" si="8"/>
        <v>3</v>
      </c>
      <c r="K153" s="10" t="str">
        <f t="shared" si="10"/>
        <v>S1R28B3</v>
      </c>
      <c r="L153" s="10" t="s">
        <v>22</v>
      </c>
      <c r="M153" s="10">
        <f>IF(Table1[[#This Row],[ID ROW]]&lt;=12,Table1[[#This Row],[ID ROW]],Table1[[#This Row],[ID ROW]]+INT((Table1[[#This Row],[ID ROW]]-1)/12)*2)</f>
        <v>32</v>
      </c>
      <c r="N153" s="10" t="str">
        <f t="shared" si="11"/>
        <v>RSR32B3</v>
      </c>
      <c r="O153" s="10">
        <f>IF(Table1[[#This Row],[ID ROW]]&lt;=12,1,INT((Table1[[#This Row],[ID ROW]]-1)/12)+1)</f>
        <v>3</v>
      </c>
      <c r="P153" s="10">
        <f>Table1[[#This Row],[ID ROW]]-((Table1[[#This Row],[SECT]]-1)*12)</f>
        <v>4</v>
      </c>
    </row>
    <row r="154" spans="1:16" ht="15.75" customHeight="1" x14ac:dyDescent="0.25">
      <c r="A154" s="6" t="s">
        <v>577</v>
      </c>
      <c r="B154" s="6" t="s">
        <v>166</v>
      </c>
      <c r="C154" s="6" t="s">
        <v>578</v>
      </c>
      <c r="D154" s="6" t="s">
        <v>579</v>
      </c>
      <c r="F154" s="7" t="s">
        <v>580</v>
      </c>
      <c r="G154" s="8">
        <v>153</v>
      </c>
      <c r="H154" s="9" t="s">
        <v>21</v>
      </c>
      <c r="I154" s="9">
        <f t="shared" si="9"/>
        <v>28</v>
      </c>
      <c r="J154" s="9">
        <f t="shared" si="8"/>
        <v>4</v>
      </c>
      <c r="K154" s="10" t="str">
        <f t="shared" si="10"/>
        <v>S1R28B4</v>
      </c>
      <c r="L154" s="10" t="s">
        <v>22</v>
      </c>
      <c r="M154" s="10">
        <f>IF(Table1[[#This Row],[ID ROW]]&lt;=12,Table1[[#This Row],[ID ROW]],Table1[[#This Row],[ID ROW]]+INT((Table1[[#This Row],[ID ROW]]-1)/12)*2)</f>
        <v>32</v>
      </c>
      <c r="N154" s="10" t="str">
        <f t="shared" si="11"/>
        <v>RSR32B4</v>
      </c>
      <c r="O154" s="10">
        <f>IF(Table1[[#This Row],[ID ROW]]&lt;=12,1,INT((Table1[[#This Row],[ID ROW]]-1)/12)+1)</f>
        <v>3</v>
      </c>
      <c r="P154" s="10">
        <f>Table1[[#This Row],[ID ROW]]-((Table1[[#This Row],[SECT]]-1)*12)</f>
        <v>4</v>
      </c>
    </row>
    <row r="155" spans="1:16" ht="15.75" customHeight="1" x14ac:dyDescent="0.3">
      <c r="A155" s="6" t="s">
        <v>581</v>
      </c>
      <c r="B155" s="6" t="s">
        <v>582</v>
      </c>
      <c r="C155" s="6" t="s">
        <v>207</v>
      </c>
      <c r="F155" s="13" t="s">
        <v>583</v>
      </c>
      <c r="G155" s="8">
        <v>154</v>
      </c>
      <c r="H155" s="9" t="s">
        <v>21</v>
      </c>
      <c r="I155" s="9">
        <f t="shared" si="9"/>
        <v>28</v>
      </c>
      <c r="J155" s="9">
        <f t="shared" si="8"/>
        <v>5</v>
      </c>
      <c r="K155" s="10" t="str">
        <f t="shared" si="10"/>
        <v>S1R28B5</v>
      </c>
      <c r="L155" s="10" t="s">
        <v>22</v>
      </c>
      <c r="M155" s="10">
        <f>IF(Table1[[#This Row],[ID ROW]]&lt;=12,Table1[[#This Row],[ID ROW]],Table1[[#This Row],[ID ROW]]+INT((Table1[[#This Row],[ID ROW]]-1)/12)*2)</f>
        <v>32</v>
      </c>
      <c r="N155" s="10" t="str">
        <f t="shared" si="11"/>
        <v>RSR32B5</v>
      </c>
      <c r="O155" s="10">
        <f>IF(Table1[[#This Row],[ID ROW]]&lt;=12,1,INT((Table1[[#This Row],[ID ROW]]-1)/12)+1)</f>
        <v>3</v>
      </c>
      <c r="P155" s="10">
        <f>Table1[[#This Row],[ID ROW]]-((Table1[[#This Row],[SECT]]-1)*12)</f>
        <v>4</v>
      </c>
    </row>
    <row r="156" spans="1:16" ht="15.75" customHeight="1" x14ac:dyDescent="0.25">
      <c r="A156" s="6" t="s">
        <v>584</v>
      </c>
      <c r="B156" s="6" t="s">
        <v>585</v>
      </c>
      <c r="C156" s="6" t="s">
        <v>67</v>
      </c>
      <c r="F156" s="7" t="s">
        <v>586</v>
      </c>
      <c r="G156" s="8">
        <v>155</v>
      </c>
      <c r="H156" s="9" t="s">
        <v>21</v>
      </c>
      <c r="I156" s="9">
        <f t="shared" si="9"/>
        <v>29</v>
      </c>
      <c r="J156" s="9">
        <f t="shared" si="8"/>
        <v>1</v>
      </c>
      <c r="K156" s="10" t="str">
        <f t="shared" si="10"/>
        <v>S1R29B1</v>
      </c>
      <c r="L156" s="10" t="s">
        <v>22</v>
      </c>
      <c r="M156" s="10">
        <f>IF(Table1[[#This Row],[ID ROW]]&lt;=12,Table1[[#This Row],[ID ROW]],Table1[[#This Row],[ID ROW]]+INT((Table1[[#This Row],[ID ROW]]-1)/12)*2)</f>
        <v>33</v>
      </c>
      <c r="N156" s="10" t="str">
        <f t="shared" si="11"/>
        <v>RSR33B1</v>
      </c>
      <c r="O156" s="10">
        <f>IF(Table1[[#This Row],[ID ROW]]&lt;=12,1,INT((Table1[[#This Row],[ID ROW]]-1)/12)+1)</f>
        <v>3</v>
      </c>
      <c r="P156" s="10">
        <f>Table1[[#This Row],[ID ROW]]-((Table1[[#This Row],[SECT]]-1)*12)</f>
        <v>5</v>
      </c>
    </row>
    <row r="157" spans="1:16" ht="15.75" customHeight="1" x14ac:dyDescent="0.3">
      <c r="A157" s="6" t="s">
        <v>587</v>
      </c>
      <c r="B157" s="6" t="s">
        <v>588</v>
      </c>
      <c r="C157" s="6" t="s">
        <v>589</v>
      </c>
      <c r="F157" s="13" t="s">
        <v>590</v>
      </c>
      <c r="G157" s="8">
        <v>156</v>
      </c>
      <c r="H157" s="9" t="s">
        <v>21</v>
      </c>
      <c r="I157" s="9">
        <f t="shared" si="9"/>
        <v>29</v>
      </c>
      <c r="J157" s="9">
        <f t="shared" si="8"/>
        <v>2</v>
      </c>
      <c r="K157" s="10" t="str">
        <f t="shared" si="10"/>
        <v>S1R29B2</v>
      </c>
      <c r="L157" s="10" t="s">
        <v>22</v>
      </c>
      <c r="M157" s="10">
        <f>IF(Table1[[#This Row],[ID ROW]]&lt;=12,Table1[[#This Row],[ID ROW]],Table1[[#This Row],[ID ROW]]+INT((Table1[[#This Row],[ID ROW]]-1)/12)*2)</f>
        <v>33</v>
      </c>
      <c r="N157" s="10" t="str">
        <f t="shared" si="11"/>
        <v>RSR33B2</v>
      </c>
      <c r="O157" s="10">
        <f>IF(Table1[[#This Row],[ID ROW]]&lt;=12,1,INT((Table1[[#This Row],[ID ROW]]-1)/12)+1)</f>
        <v>3</v>
      </c>
      <c r="P157" s="10">
        <f>Table1[[#This Row],[ID ROW]]-((Table1[[#This Row],[SECT]]-1)*12)</f>
        <v>5</v>
      </c>
    </row>
    <row r="158" spans="1:16" ht="15.75" customHeight="1" x14ac:dyDescent="0.25">
      <c r="A158" s="6" t="s">
        <v>591</v>
      </c>
      <c r="B158" s="6" t="s">
        <v>592</v>
      </c>
      <c r="C158" s="6" t="s">
        <v>593</v>
      </c>
      <c r="D158" s="6" t="s">
        <v>88</v>
      </c>
      <c r="F158" s="7" t="s">
        <v>594</v>
      </c>
      <c r="G158" s="8">
        <v>157</v>
      </c>
      <c r="H158" s="9" t="s">
        <v>21</v>
      </c>
      <c r="I158" s="9">
        <f t="shared" si="9"/>
        <v>29</v>
      </c>
      <c r="J158" s="9">
        <f t="shared" si="8"/>
        <v>3</v>
      </c>
      <c r="K158" s="10" t="str">
        <f t="shared" si="10"/>
        <v>S1R29B3</v>
      </c>
      <c r="L158" s="10" t="s">
        <v>22</v>
      </c>
      <c r="M158" s="10">
        <f>IF(Table1[[#This Row],[ID ROW]]&lt;=12,Table1[[#This Row],[ID ROW]],Table1[[#This Row],[ID ROW]]+INT((Table1[[#This Row],[ID ROW]]-1)/12)*2)</f>
        <v>33</v>
      </c>
      <c r="N158" s="10" t="str">
        <f t="shared" si="11"/>
        <v>RSR33B3</v>
      </c>
      <c r="O158" s="10">
        <f>IF(Table1[[#This Row],[ID ROW]]&lt;=12,1,INT((Table1[[#This Row],[ID ROW]]-1)/12)+1)</f>
        <v>3</v>
      </c>
      <c r="P158" s="10">
        <f>Table1[[#This Row],[ID ROW]]-((Table1[[#This Row],[SECT]]-1)*12)</f>
        <v>5</v>
      </c>
    </row>
    <row r="159" spans="1:16" ht="15.75" customHeight="1" x14ac:dyDescent="0.3">
      <c r="A159" s="6" t="s">
        <v>595</v>
      </c>
      <c r="B159" s="6" t="s">
        <v>596</v>
      </c>
      <c r="C159" s="6" t="s">
        <v>597</v>
      </c>
      <c r="D159" s="6" t="s">
        <v>598</v>
      </c>
      <c r="F159" s="13" t="s">
        <v>599</v>
      </c>
      <c r="G159" s="8">
        <v>158</v>
      </c>
      <c r="H159" s="9" t="s">
        <v>21</v>
      </c>
      <c r="I159" s="9">
        <f t="shared" si="9"/>
        <v>29</v>
      </c>
      <c r="J159" s="9">
        <f t="shared" si="8"/>
        <v>4</v>
      </c>
      <c r="K159" s="10" t="str">
        <f t="shared" si="10"/>
        <v>S1R29B4</v>
      </c>
      <c r="L159" s="10" t="s">
        <v>22</v>
      </c>
      <c r="M159" s="10">
        <f>IF(Table1[[#This Row],[ID ROW]]&lt;=12,Table1[[#This Row],[ID ROW]],Table1[[#This Row],[ID ROW]]+INT((Table1[[#This Row],[ID ROW]]-1)/12)*2)</f>
        <v>33</v>
      </c>
      <c r="N159" s="10" t="str">
        <f t="shared" si="11"/>
        <v>RSR33B4</v>
      </c>
      <c r="O159" s="10">
        <f>IF(Table1[[#This Row],[ID ROW]]&lt;=12,1,INT((Table1[[#This Row],[ID ROW]]-1)/12)+1)</f>
        <v>3</v>
      </c>
      <c r="P159" s="10">
        <f>Table1[[#This Row],[ID ROW]]-((Table1[[#This Row],[SECT]]-1)*12)</f>
        <v>5</v>
      </c>
    </row>
    <row r="160" spans="1:16" ht="15.75" customHeight="1" x14ac:dyDescent="0.25">
      <c r="A160" s="6" t="s">
        <v>600</v>
      </c>
      <c r="C160" s="6" t="s">
        <v>601</v>
      </c>
      <c r="F160" s="7" t="s">
        <v>602</v>
      </c>
      <c r="G160" s="8">
        <v>159</v>
      </c>
      <c r="H160" s="9" t="s">
        <v>21</v>
      </c>
      <c r="I160" s="9">
        <f t="shared" si="9"/>
        <v>29</v>
      </c>
      <c r="J160" s="9">
        <f t="shared" si="8"/>
        <v>5</v>
      </c>
      <c r="K160" s="10" t="str">
        <f t="shared" si="10"/>
        <v>S1R29B5</v>
      </c>
      <c r="L160" s="10" t="s">
        <v>22</v>
      </c>
      <c r="M160" s="10">
        <f>IF(Table1[[#This Row],[ID ROW]]&lt;=12,Table1[[#This Row],[ID ROW]],Table1[[#This Row],[ID ROW]]+INT((Table1[[#This Row],[ID ROW]]-1)/12)*2)</f>
        <v>33</v>
      </c>
      <c r="N160" s="10" t="str">
        <f t="shared" si="11"/>
        <v>RSR33B5</v>
      </c>
      <c r="O160" s="10">
        <f>IF(Table1[[#This Row],[ID ROW]]&lt;=12,1,INT((Table1[[#This Row],[ID ROW]]-1)/12)+1)</f>
        <v>3</v>
      </c>
      <c r="P160" s="10">
        <f>Table1[[#This Row],[ID ROW]]-((Table1[[#This Row],[SECT]]-1)*12)</f>
        <v>5</v>
      </c>
    </row>
    <row r="161" spans="1:16" ht="15.75" customHeight="1" x14ac:dyDescent="0.3">
      <c r="A161" s="6" t="s">
        <v>603</v>
      </c>
      <c r="B161" s="6" t="s">
        <v>604</v>
      </c>
      <c r="F161" s="13" t="s">
        <v>605</v>
      </c>
      <c r="G161" s="8">
        <v>160</v>
      </c>
      <c r="H161" s="9" t="s">
        <v>21</v>
      </c>
      <c r="I161" s="9">
        <f t="shared" si="9"/>
        <v>29</v>
      </c>
      <c r="J161" s="9">
        <f t="shared" si="8"/>
        <v>6</v>
      </c>
      <c r="K161" s="10" t="str">
        <f t="shared" si="10"/>
        <v>S1R29B6</v>
      </c>
      <c r="L161" s="10" t="s">
        <v>22</v>
      </c>
      <c r="M161" s="10">
        <f>IF(Table1[[#This Row],[ID ROW]]&lt;=12,Table1[[#This Row],[ID ROW]],Table1[[#This Row],[ID ROW]]+INT((Table1[[#This Row],[ID ROW]]-1)/12)*2)</f>
        <v>33</v>
      </c>
      <c r="N161" s="10" t="str">
        <f t="shared" si="11"/>
        <v>RSR33B6</v>
      </c>
      <c r="O161" s="10">
        <f>IF(Table1[[#This Row],[ID ROW]]&lt;=12,1,INT((Table1[[#This Row],[ID ROW]]-1)/12)+1)</f>
        <v>3</v>
      </c>
      <c r="P161" s="10">
        <f>Table1[[#This Row],[ID ROW]]-((Table1[[#This Row],[SECT]]-1)*12)</f>
        <v>5</v>
      </c>
    </row>
    <row r="162" spans="1:16" ht="15.75" customHeight="1" x14ac:dyDescent="0.25">
      <c r="A162" s="6" t="s">
        <v>606</v>
      </c>
      <c r="B162" s="6" t="s">
        <v>70</v>
      </c>
      <c r="C162" s="6" t="s">
        <v>607</v>
      </c>
      <c r="F162" s="7" t="s">
        <v>608</v>
      </c>
      <c r="G162" s="8">
        <v>161</v>
      </c>
      <c r="H162" s="9" t="s">
        <v>21</v>
      </c>
      <c r="I162" s="9">
        <f t="shared" si="9"/>
        <v>30</v>
      </c>
      <c r="J162" s="9">
        <f t="shared" si="8"/>
        <v>1</v>
      </c>
      <c r="K162" s="10" t="str">
        <f t="shared" si="10"/>
        <v>S1R30B1</v>
      </c>
      <c r="L162" s="10" t="s">
        <v>22</v>
      </c>
      <c r="M162" s="10">
        <f>IF(Table1[[#This Row],[ID ROW]]&lt;=12,Table1[[#This Row],[ID ROW]],Table1[[#This Row],[ID ROW]]+INT((Table1[[#This Row],[ID ROW]]-1)/12)*2)</f>
        <v>34</v>
      </c>
      <c r="N162" s="10" t="str">
        <f t="shared" si="11"/>
        <v>RSR34B1</v>
      </c>
      <c r="O162" s="10">
        <f>IF(Table1[[#This Row],[ID ROW]]&lt;=12,1,INT((Table1[[#This Row],[ID ROW]]-1)/12)+1)</f>
        <v>3</v>
      </c>
      <c r="P162" s="10">
        <f>Table1[[#This Row],[ID ROW]]-((Table1[[#This Row],[SECT]]-1)*12)</f>
        <v>6</v>
      </c>
    </row>
    <row r="163" spans="1:16" ht="15.75" customHeight="1" x14ac:dyDescent="0.3">
      <c r="A163" s="6" t="s">
        <v>595</v>
      </c>
      <c r="B163" s="6" t="s">
        <v>88</v>
      </c>
      <c r="C163" s="6" t="s">
        <v>609</v>
      </c>
      <c r="F163" s="13" t="s">
        <v>610</v>
      </c>
      <c r="G163" s="8">
        <v>162</v>
      </c>
      <c r="H163" s="9" t="s">
        <v>21</v>
      </c>
      <c r="I163" s="9">
        <f t="shared" si="9"/>
        <v>30</v>
      </c>
      <c r="J163" s="9">
        <f t="shared" si="8"/>
        <v>2</v>
      </c>
      <c r="K163" s="10" t="str">
        <f t="shared" si="10"/>
        <v>S1R30B2</v>
      </c>
      <c r="L163" s="10" t="s">
        <v>22</v>
      </c>
      <c r="M163" s="10">
        <f>IF(Table1[[#This Row],[ID ROW]]&lt;=12,Table1[[#This Row],[ID ROW]],Table1[[#This Row],[ID ROW]]+INT((Table1[[#This Row],[ID ROW]]-1)/12)*2)</f>
        <v>34</v>
      </c>
      <c r="N163" s="10" t="str">
        <f t="shared" si="11"/>
        <v>RSR34B2</v>
      </c>
      <c r="O163" s="10">
        <f>IF(Table1[[#This Row],[ID ROW]]&lt;=12,1,INT((Table1[[#This Row],[ID ROW]]-1)/12)+1)</f>
        <v>3</v>
      </c>
      <c r="P163" s="10">
        <f>Table1[[#This Row],[ID ROW]]-((Table1[[#This Row],[SECT]]-1)*12)</f>
        <v>6</v>
      </c>
    </row>
    <row r="164" spans="1:16" ht="15.75" customHeight="1" x14ac:dyDescent="0.25">
      <c r="A164" s="6" t="s">
        <v>611</v>
      </c>
      <c r="C164" s="6" t="s">
        <v>612</v>
      </c>
      <c r="D164" s="6" t="s">
        <v>613</v>
      </c>
      <c r="F164" s="7" t="s">
        <v>614</v>
      </c>
      <c r="G164" s="8">
        <v>163</v>
      </c>
      <c r="H164" s="9" t="s">
        <v>21</v>
      </c>
      <c r="I164" s="9">
        <f t="shared" si="9"/>
        <v>30</v>
      </c>
      <c r="J164" s="9">
        <f t="shared" si="8"/>
        <v>3</v>
      </c>
      <c r="K164" s="10" t="str">
        <f t="shared" si="10"/>
        <v>S1R30B3</v>
      </c>
      <c r="L164" s="10" t="s">
        <v>22</v>
      </c>
      <c r="M164" s="10">
        <f>IF(Table1[[#This Row],[ID ROW]]&lt;=12,Table1[[#This Row],[ID ROW]],Table1[[#This Row],[ID ROW]]+INT((Table1[[#This Row],[ID ROW]]-1)/12)*2)</f>
        <v>34</v>
      </c>
      <c r="N164" s="10" t="str">
        <f t="shared" si="11"/>
        <v>RSR34B3</v>
      </c>
      <c r="O164" s="10">
        <f>IF(Table1[[#This Row],[ID ROW]]&lt;=12,1,INT((Table1[[#This Row],[ID ROW]]-1)/12)+1)</f>
        <v>3</v>
      </c>
      <c r="P164" s="10">
        <f>Table1[[#This Row],[ID ROW]]-((Table1[[#This Row],[SECT]]-1)*12)</f>
        <v>6</v>
      </c>
    </row>
    <row r="165" spans="1:16" ht="15.75" customHeight="1" x14ac:dyDescent="0.3">
      <c r="A165" s="6" t="s">
        <v>615</v>
      </c>
      <c r="B165" s="6" t="s">
        <v>616</v>
      </c>
      <c r="C165" s="6" t="s">
        <v>617</v>
      </c>
      <c r="D165" s="6" t="s">
        <v>618</v>
      </c>
      <c r="F165" s="13" t="s">
        <v>619</v>
      </c>
      <c r="G165" s="8">
        <v>164</v>
      </c>
      <c r="H165" s="9" t="s">
        <v>21</v>
      </c>
      <c r="I165" s="9">
        <f t="shared" si="9"/>
        <v>30</v>
      </c>
      <c r="J165" s="9">
        <f t="shared" si="8"/>
        <v>4</v>
      </c>
      <c r="K165" s="10" t="str">
        <f t="shared" si="10"/>
        <v>S1R30B4</v>
      </c>
      <c r="L165" s="10" t="s">
        <v>22</v>
      </c>
      <c r="M165" s="10">
        <f>IF(Table1[[#This Row],[ID ROW]]&lt;=12,Table1[[#This Row],[ID ROW]],Table1[[#This Row],[ID ROW]]+INT((Table1[[#This Row],[ID ROW]]-1)/12)*2)</f>
        <v>34</v>
      </c>
      <c r="N165" s="10" t="str">
        <f t="shared" si="11"/>
        <v>RSR34B4</v>
      </c>
      <c r="O165" s="10">
        <f>IF(Table1[[#This Row],[ID ROW]]&lt;=12,1,INT((Table1[[#This Row],[ID ROW]]-1)/12)+1)</f>
        <v>3</v>
      </c>
      <c r="P165" s="10">
        <f>Table1[[#This Row],[ID ROW]]-((Table1[[#This Row],[SECT]]-1)*12)</f>
        <v>6</v>
      </c>
    </row>
    <row r="166" spans="1:16" ht="15.75" customHeight="1" x14ac:dyDescent="0.25">
      <c r="A166" s="6" t="s">
        <v>620</v>
      </c>
      <c r="B166" s="6" t="s">
        <v>621</v>
      </c>
      <c r="C166" s="6" t="s">
        <v>622</v>
      </c>
      <c r="D166" s="6" t="s">
        <v>623</v>
      </c>
      <c r="F166" s="7" t="s">
        <v>624</v>
      </c>
      <c r="G166" s="8">
        <v>165</v>
      </c>
      <c r="H166" s="9" t="s">
        <v>21</v>
      </c>
      <c r="I166" s="9">
        <f t="shared" si="9"/>
        <v>30</v>
      </c>
      <c r="J166" s="9">
        <f t="shared" si="8"/>
        <v>5</v>
      </c>
      <c r="K166" s="10" t="str">
        <f t="shared" si="10"/>
        <v>S1R30B5</v>
      </c>
      <c r="L166" s="10" t="s">
        <v>22</v>
      </c>
      <c r="M166" s="10">
        <f>IF(Table1[[#This Row],[ID ROW]]&lt;=12,Table1[[#This Row],[ID ROW]],Table1[[#This Row],[ID ROW]]+INT((Table1[[#This Row],[ID ROW]]-1)/12)*2)</f>
        <v>34</v>
      </c>
      <c r="N166" s="10" t="str">
        <f t="shared" si="11"/>
        <v>RSR34B5</v>
      </c>
      <c r="O166" s="10">
        <f>IF(Table1[[#This Row],[ID ROW]]&lt;=12,1,INT((Table1[[#This Row],[ID ROW]]-1)/12)+1)</f>
        <v>3</v>
      </c>
      <c r="P166" s="10">
        <f>Table1[[#This Row],[ID ROW]]-((Table1[[#This Row],[SECT]]-1)*12)</f>
        <v>6</v>
      </c>
    </row>
    <row r="167" spans="1:16" ht="15.75" customHeight="1" x14ac:dyDescent="0.3">
      <c r="A167" s="6" t="s">
        <v>625</v>
      </c>
      <c r="B167" s="6" t="s">
        <v>626</v>
      </c>
      <c r="C167" s="6" t="s">
        <v>627</v>
      </c>
      <c r="D167" s="6" t="s">
        <v>628</v>
      </c>
      <c r="F167" s="13" t="s">
        <v>629</v>
      </c>
      <c r="G167" s="8">
        <v>166</v>
      </c>
      <c r="H167" s="9" t="s">
        <v>21</v>
      </c>
      <c r="I167" s="9">
        <f t="shared" si="9"/>
        <v>31</v>
      </c>
      <c r="J167" s="9">
        <f t="shared" si="8"/>
        <v>1</v>
      </c>
      <c r="K167" s="10" t="str">
        <f t="shared" si="10"/>
        <v>S1R31B1</v>
      </c>
      <c r="L167" s="10" t="s">
        <v>22</v>
      </c>
      <c r="M167" s="10">
        <f>IF(Table1[[#This Row],[ID ROW]]&lt;=12,Table1[[#This Row],[ID ROW]],Table1[[#This Row],[ID ROW]]+INT((Table1[[#This Row],[ID ROW]]-1)/12)*2)</f>
        <v>35</v>
      </c>
      <c r="N167" s="10" t="str">
        <f t="shared" si="11"/>
        <v>RSR35B1</v>
      </c>
      <c r="O167" s="10">
        <f>IF(Table1[[#This Row],[ID ROW]]&lt;=12,1,INT((Table1[[#This Row],[ID ROW]]-1)/12)+1)</f>
        <v>3</v>
      </c>
      <c r="P167" s="10">
        <f>Table1[[#This Row],[ID ROW]]-((Table1[[#This Row],[SECT]]-1)*12)</f>
        <v>7</v>
      </c>
    </row>
    <row r="168" spans="1:16" ht="15.75" customHeight="1" x14ac:dyDescent="0.25">
      <c r="A168" s="6" t="s">
        <v>630</v>
      </c>
      <c r="B168" s="6" t="s">
        <v>125</v>
      </c>
      <c r="C168" s="6" t="s">
        <v>631</v>
      </c>
      <c r="D168" s="6" t="s">
        <v>52</v>
      </c>
      <c r="F168" s="7" t="s">
        <v>632</v>
      </c>
      <c r="G168" s="8">
        <v>167</v>
      </c>
      <c r="H168" s="9" t="s">
        <v>21</v>
      </c>
      <c r="I168" s="9">
        <f t="shared" si="9"/>
        <v>31</v>
      </c>
      <c r="J168" s="9">
        <f t="shared" si="8"/>
        <v>2</v>
      </c>
      <c r="K168" s="10" t="str">
        <f t="shared" si="10"/>
        <v>S1R31B2</v>
      </c>
      <c r="L168" s="10" t="s">
        <v>22</v>
      </c>
      <c r="M168" s="10">
        <f>IF(Table1[[#This Row],[ID ROW]]&lt;=12,Table1[[#This Row],[ID ROW]],Table1[[#This Row],[ID ROW]]+INT((Table1[[#This Row],[ID ROW]]-1)/12)*2)</f>
        <v>35</v>
      </c>
      <c r="N168" s="10" t="str">
        <f t="shared" si="11"/>
        <v>RSR35B2</v>
      </c>
      <c r="O168" s="10">
        <f>IF(Table1[[#This Row],[ID ROW]]&lt;=12,1,INT((Table1[[#This Row],[ID ROW]]-1)/12)+1)</f>
        <v>3</v>
      </c>
      <c r="P168" s="10">
        <f>Table1[[#This Row],[ID ROW]]-((Table1[[#This Row],[SECT]]-1)*12)</f>
        <v>7</v>
      </c>
    </row>
    <row r="169" spans="1:16" ht="15.75" customHeight="1" x14ac:dyDescent="0.3">
      <c r="A169" s="6" t="s">
        <v>165</v>
      </c>
      <c r="B169" s="6" t="s">
        <v>633</v>
      </c>
      <c r="C169" s="6" t="s">
        <v>634</v>
      </c>
      <c r="F169" s="13" t="s">
        <v>635</v>
      </c>
      <c r="G169" s="8">
        <v>168</v>
      </c>
      <c r="H169" s="9" t="s">
        <v>21</v>
      </c>
      <c r="I169" s="9">
        <f t="shared" si="9"/>
        <v>31</v>
      </c>
      <c r="J169" s="9">
        <f t="shared" si="8"/>
        <v>3</v>
      </c>
      <c r="K169" s="10" t="str">
        <f t="shared" si="10"/>
        <v>S1R31B3</v>
      </c>
      <c r="L169" s="10" t="s">
        <v>22</v>
      </c>
      <c r="M169" s="10">
        <f>IF(Table1[[#This Row],[ID ROW]]&lt;=12,Table1[[#This Row],[ID ROW]],Table1[[#This Row],[ID ROW]]+INT((Table1[[#This Row],[ID ROW]]-1)/12)*2)</f>
        <v>35</v>
      </c>
      <c r="N169" s="10" t="str">
        <f t="shared" si="11"/>
        <v>RSR35B3</v>
      </c>
      <c r="O169" s="10">
        <f>IF(Table1[[#This Row],[ID ROW]]&lt;=12,1,INT((Table1[[#This Row],[ID ROW]]-1)/12)+1)</f>
        <v>3</v>
      </c>
      <c r="P169" s="10">
        <f>Table1[[#This Row],[ID ROW]]-((Table1[[#This Row],[SECT]]-1)*12)</f>
        <v>7</v>
      </c>
    </row>
    <row r="170" spans="1:16" ht="15.75" customHeight="1" x14ac:dyDescent="0.25">
      <c r="A170" s="6" t="s">
        <v>636</v>
      </c>
      <c r="B170" s="6" t="s">
        <v>235</v>
      </c>
      <c r="C170" s="6" t="s">
        <v>637</v>
      </c>
      <c r="D170" s="6" t="s">
        <v>404</v>
      </c>
      <c r="F170" s="7" t="s">
        <v>635</v>
      </c>
      <c r="G170" s="8">
        <v>169</v>
      </c>
      <c r="H170" s="9" t="s">
        <v>21</v>
      </c>
      <c r="I170" s="9">
        <f t="shared" si="9"/>
        <v>31</v>
      </c>
      <c r="J170" s="9">
        <f t="shared" si="8"/>
        <v>4</v>
      </c>
      <c r="K170" s="10" t="str">
        <f t="shared" si="10"/>
        <v>S1R31B4</v>
      </c>
      <c r="L170" s="10" t="s">
        <v>22</v>
      </c>
      <c r="M170" s="10">
        <f>IF(Table1[[#This Row],[ID ROW]]&lt;=12,Table1[[#This Row],[ID ROW]],Table1[[#This Row],[ID ROW]]+INT((Table1[[#This Row],[ID ROW]]-1)/12)*2)</f>
        <v>35</v>
      </c>
      <c r="N170" s="10" t="str">
        <f t="shared" si="11"/>
        <v>RSR35B4</v>
      </c>
      <c r="O170" s="10">
        <f>IF(Table1[[#This Row],[ID ROW]]&lt;=12,1,INT((Table1[[#This Row],[ID ROW]]-1)/12)+1)</f>
        <v>3</v>
      </c>
      <c r="P170" s="10">
        <f>Table1[[#This Row],[ID ROW]]-((Table1[[#This Row],[SECT]]-1)*12)</f>
        <v>7</v>
      </c>
    </row>
    <row r="171" spans="1:16" ht="15.75" customHeight="1" x14ac:dyDescent="0.3">
      <c r="A171" s="6" t="s">
        <v>636</v>
      </c>
      <c r="B171" s="6" t="s">
        <v>235</v>
      </c>
      <c r="C171" s="6" t="s">
        <v>638</v>
      </c>
      <c r="D171" s="6" t="s">
        <v>404</v>
      </c>
      <c r="F171" s="13" t="s">
        <v>635</v>
      </c>
      <c r="G171" s="8">
        <v>170</v>
      </c>
      <c r="H171" s="9" t="s">
        <v>21</v>
      </c>
      <c r="I171" s="9">
        <f t="shared" si="9"/>
        <v>31</v>
      </c>
      <c r="J171" s="9">
        <f t="shared" si="8"/>
        <v>5</v>
      </c>
      <c r="K171" s="10" t="str">
        <f t="shared" si="10"/>
        <v>S1R31B5</v>
      </c>
      <c r="L171" s="10" t="s">
        <v>22</v>
      </c>
      <c r="M171" s="10">
        <f>IF(Table1[[#This Row],[ID ROW]]&lt;=12,Table1[[#This Row],[ID ROW]],Table1[[#This Row],[ID ROW]]+INT((Table1[[#This Row],[ID ROW]]-1)/12)*2)</f>
        <v>35</v>
      </c>
      <c r="N171" s="10" t="str">
        <f t="shared" si="11"/>
        <v>RSR35B5</v>
      </c>
      <c r="O171" s="10">
        <f>IF(Table1[[#This Row],[ID ROW]]&lt;=12,1,INT((Table1[[#This Row],[ID ROW]]-1)/12)+1)</f>
        <v>3</v>
      </c>
      <c r="P171" s="10">
        <f>Table1[[#This Row],[ID ROW]]-((Table1[[#This Row],[SECT]]-1)*12)</f>
        <v>7</v>
      </c>
    </row>
    <row r="172" spans="1:16" ht="15.75" customHeight="1" x14ac:dyDescent="0.25">
      <c r="A172" s="6" t="s">
        <v>636</v>
      </c>
      <c r="B172" s="6" t="s">
        <v>235</v>
      </c>
      <c r="C172" s="6" t="s">
        <v>639</v>
      </c>
      <c r="D172" s="6" t="s">
        <v>404</v>
      </c>
      <c r="F172" s="7" t="s">
        <v>635</v>
      </c>
      <c r="G172" s="8">
        <v>171</v>
      </c>
      <c r="H172" s="9" t="s">
        <v>21</v>
      </c>
      <c r="I172" s="9">
        <f t="shared" si="9"/>
        <v>31</v>
      </c>
      <c r="J172" s="9">
        <f t="shared" si="8"/>
        <v>6</v>
      </c>
      <c r="K172" s="10" t="str">
        <f t="shared" si="10"/>
        <v>S1R31B6</v>
      </c>
      <c r="L172" s="10" t="s">
        <v>22</v>
      </c>
      <c r="M172" s="10">
        <f>IF(Table1[[#This Row],[ID ROW]]&lt;=12,Table1[[#This Row],[ID ROW]],Table1[[#This Row],[ID ROW]]+INT((Table1[[#This Row],[ID ROW]]-1)/12)*2)</f>
        <v>35</v>
      </c>
      <c r="N172" s="10" t="str">
        <f t="shared" si="11"/>
        <v>RSR35B6</v>
      </c>
      <c r="O172" s="10">
        <f>IF(Table1[[#This Row],[ID ROW]]&lt;=12,1,INT((Table1[[#This Row],[ID ROW]]-1)/12)+1)</f>
        <v>3</v>
      </c>
      <c r="P172" s="10">
        <f>Table1[[#This Row],[ID ROW]]-((Table1[[#This Row],[SECT]]-1)*12)</f>
        <v>7</v>
      </c>
    </row>
    <row r="173" spans="1:16" ht="15.75" customHeight="1" x14ac:dyDescent="0.3">
      <c r="A173" s="6" t="s">
        <v>640</v>
      </c>
      <c r="B173" s="6" t="s">
        <v>641</v>
      </c>
      <c r="C173" s="6" t="s">
        <v>642</v>
      </c>
      <c r="D173" s="6" t="s">
        <v>643</v>
      </c>
      <c r="F173" s="13" t="s">
        <v>644</v>
      </c>
      <c r="G173" s="8">
        <v>172</v>
      </c>
      <c r="H173" s="9" t="s">
        <v>21</v>
      </c>
      <c r="I173" s="9">
        <f t="shared" si="9"/>
        <v>32</v>
      </c>
      <c r="J173" s="9">
        <f t="shared" si="8"/>
        <v>1</v>
      </c>
      <c r="K173" s="10" t="str">
        <f t="shared" si="10"/>
        <v>S1R32B1</v>
      </c>
      <c r="L173" s="10" t="s">
        <v>22</v>
      </c>
      <c r="M173" s="10">
        <f>IF(Table1[[#This Row],[ID ROW]]&lt;=12,Table1[[#This Row],[ID ROW]],Table1[[#This Row],[ID ROW]]+INT((Table1[[#This Row],[ID ROW]]-1)/12)*2)</f>
        <v>36</v>
      </c>
      <c r="N173" s="10" t="str">
        <f t="shared" si="11"/>
        <v>RSR36B1</v>
      </c>
      <c r="O173" s="10">
        <f>IF(Table1[[#This Row],[ID ROW]]&lt;=12,1,INT((Table1[[#This Row],[ID ROW]]-1)/12)+1)</f>
        <v>3</v>
      </c>
      <c r="P173" s="10">
        <f>Table1[[#This Row],[ID ROW]]-((Table1[[#This Row],[SECT]]-1)*12)</f>
        <v>8</v>
      </c>
    </row>
    <row r="174" spans="1:16" ht="15.75" customHeight="1" x14ac:dyDescent="0.25">
      <c r="A174" s="6" t="s">
        <v>645</v>
      </c>
      <c r="B174" s="6" t="s">
        <v>646</v>
      </c>
      <c r="C174" s="6" t="s">
        <v>647</v>
      </c>
      <c r="F174" s="7" t="s">
        <v>644</v>
      </c>
      <c r="G174" s="8">
        <v>173</v>
      </c>
      <c r="H174" s="9" t="s">
        <v>21</v>
      </c>
      <c r="I174" s="9">
        <f t="shared" si="9"/>
        <v>32</v>
      </c>
      <c r="J174" s="9">
        <f t="shared" si="8"/>
        <v>2</v>
      </c>
      <c r="K174" s="10" t="str">
        <f t="shared" si="10"/>
        <v>S1R32B2</v>
      </c>
      <c r="L174" s="10" t="s">
        <v>22</v>
      </c>
      <c r="M174" s="10">
        <f>IF(Table1[[#This Row],[ID ROW]]&lt;=12,Table1[[#This Row],[ID ROW]],Table1[[#This Row],[ID ROW]]+INT((Table1[[#This Row],[ID ROW]]-1)/12)*2)</f>
        <v>36</v>
      </c>
      <c r="N174" s="10" t="str">
        <f t="shared" si="11"/>
        <v>RSR36B2</v>
      </c>
      <c r="O174" s="10">
        <f>IF(Table1[[#This Row],[ID ROW]]&lt;=12,1,INT((Table1[[#This Row],[ID ROW]]-1)/12)+1)</f>
        <v>3</v>
      </c>
      <c r="P174" s="10">
        <f>Table1[[#This Row],[ID ROW]]-((Table1[[#This Row],[SECT]]-1)*12)</f>
        <v>8</v>
      </c>
    </row>
    <row r="175" spans="1:16" ht="15.75" customHeight="1" x14ac:dyDescent="0.3">
      <c r="A175" s="6" t="s">
        <v>648</v>
      </c>
      <c r="C175" s="6" t="s">
        <v>649</v>
      </c>
      <c r="D175" s="6" t="s">
        <v>214</v>
      </c>
      <c r="F175" s="13" t="s">
        <v>650</v>
      </c>
      <c r="G175" s="8">
        <v>174</v>
      </c>
      <c r="H175" s="9" t="s">
        <v>21</v>
      </c>
      <c r="I175" s="9">
        <f t="shared" si="9"/>
        <v>32</v>
      </c>
      <c r="J175" s="9">
        <f t="shared" si="8"/>
        <v>3</v>
      </c>
      <c r="K175" s="10" t="str">
        <f t="shared" si="10"/>
        <v>S1R32B3</v>
      </c>
      <c r="L175" s="10" t="s">
        <v>22</v>
      </c>
      <c r="M175" s="10">
        <f>IF(Table1[[#This Row],[ID ROW]]&lt;=12,Table1[[#This Row],[ID ROW]],Table1[[#This Row],[ID ROW]]+INT((Table1[[#This Row],[ID ROW]]-1)/12)*2)</f>
        <v>36</v>
      </c>
      <c r="N175" s="10" t="str">
        <f t="shared" si="11"/>
        <v>RSR36B3</v>
      </c>
      <c r="O175" s="10">
        <f>IF(Table1[[#This Row],[ID ROW]]&lt;=12,1,INT((Table1[[#This Row],[ID ROW]]-1)/12)+1)</f>
        <v>3</v>
      </c>
      <c r="P175" s="10">
        <f>Table1[[#This Row],[ID ROW]]-((Table1[[#This Row],[SECT]]-1)*12)</f>
        <v>8</v>
      </c>
    </row>
    <row r="176" spans="1:16" ht="15.75" customHeight="1" x14ac:dyDescent="0.25">
      <c r="A176" s="6" t="s">
        <v>651</v>
      </c>
      <c r="B176" s="6" t="s">
        <v>652</v>
      </c>
      <c r="C176" s="6" t="s">
        <v>653</v>
      </c>
      <c r="F176" s="7" t="s">
        <v>654</v>
      </c>
      <c r="G176" s="8">
        <v>175</v>
      </c>
      <c r="H176" s="9" t="s">
        <v>21</v>
      </c>
      <c r="I176" s="9">
        <f t="shared" si="9"/>
        <v>32</v>
      </c>
      <c r="J176" s="9">
        <f t="shared" si="8"/>
        <v>4</v>
      </c>
      <c r="K176" s="10" t="str">
        <f t="shared" si="10"/>
        <v>S1R32B4</v>
      </c>
      <c r="L176" s="10" t="s">
        <v>22</v>
      </c>
      <c r="M176" s="10">
        <f>IF(Table1[[#This Row],[ID ROW]]&lt;=12,Table1[[#This Row],[ID ROW]],Table1[[#This Row],[ID ROW]]+INT((Table1[[#This Row],[ID ROW]]-1)/12)*2)</f>
        <v>36</v>
      </c>
      <c r="N176" s="10" t="str">
        <f t="shared" si="11"/>
        <v>RSR36B4</v>
      </c>
      <c r="O176" s="10">
        <f>IF(Table1[[#This Row],[ID ROW]]&lt;=12,1,INT((Table1[[#This Row],[ID ROW]]-1)/12)+1)</f>
        <v>3</v>
      </c>
      <c r="P176" s="10">
        <f>Table1[[#This Row],[ID ROW]]-((Table1[[#This Row],[SECT]]-1)*12)</f>
        <v>8</v>
      </c>
    </row>
    <row r="177" spans="1:16" ht="15.75" customHeight="1" x14ac:dyDescent="0.3">
      <c r="A177" s="6" t="s">
        <v>655</v>
      </c>
      <c r="B177" s="6" t="s">
        <v>656</v>
      </c>
      <c r="C177" s="6" t="s">
        <v>279</v>
      </c>
      <c r="D177" s="6" t="s">
        <v>117</v>
      </c>
      <c r="F177" s="13" t="s">
        <v>657</v>
      </c>
      <c r="G177" s="8">
        <v>176</v>
      </c>
      <c r="H177" s="9" t="s">
        <v>21</v>
      </c>
      <c r="I177" s="9">
        <f t="shared" si="9"/>
        <v>32</v>
      </c>
      <c r="J177" s="9">
        <f t="shared" si="8"/>
        <v>5</v>
      </c>
      <c r="K177" s="10" t="str">
        <f t="shared" si="10"/>
        <v>S1R32B5</v>
      </c>
      <c r="L177" s="10" t="s">
        <v>22</v>
      </c>
      <c r="M177" s="10">
        <f>IF(Table1[[#This Row],[ID ROW]]&lt;=12,Table1[[#This Row],[ID ROW]],Table1[[#This Row],[ID ROW]]+INT((Table1[[#This Row],[ID ROW]]-1)/12)*2)</f>
        <v>36</v>
      </c>
      <c r="N177" s="10" t="str">
        <f t="shared" si="11"/>
        <v>RSR36B5</v>
      </c>
      <c r="O177" s="10">
        <f>IF(Table1[[#This Row],[ID ROW]]&lt;=12,1,INT((Table1[[#This Row],[ID ROW]]-1)/12)+1)</f>
        <v>3</v>
      </c>
      <c r="P177" s="10">
        <f>Table1[[#This Row],[ID ROW]]-((Table1[[#This Row],[SECT]]-1)*12)</f>
        <v>8</v>
      </c>
    </row>
    <row r="178" spans="1:16" ht="15.75" customHeight="1" x14ac:dyDescent="0.25">
      <c r="A178" s="6" t="s">
        <v>658</v>
      </c>
      <c r="B178" s="6" t="s">
        <v>659</v>
      </c>
      <c r="C178" s="6" t="s">
        <v>67</v>
      </c>
      <c r="F178" s="7" t="s">
        <v>660</v>
      </c>
      <c r="G178" s="8">
        <v>177</v>
      </c>
      <c r="H178" s="9" t="s">
        <v>21</v>
      </c>
      <c r="I178" s="9">
        <f t="shared" si="9"/>
        <v>33</v>
      </c>
      <c r="J178" s="9">
        <f t="shared" si="8"/>
        <v>1</v>
      </c>
      <c r="K178" s="10" t="str">
        <f t="shared" si="10"/>
        <v>S1R33B1</v>
      </c>
      <c r="L178" s="10" t="s">
        <v>22</v>
      </c>
      <c r="M178" s="10">
        <f>IF(Table1[[#This Row],[ID ROW]]&lt;=12,Table1[[#This Row],[ID ROW]],Table1[[#This Row],[ID ROW]]+INT((Table1[[#This Row],[ID ROW]]-1)/12)*2)</f>
        <v>37</v>
      </c>
      <c r="N178" s="10" t="str">
        <f t="shared" si="11"/>
        <v>RSR37B1</v>
      </c>
      <c r="O178" s="10">
        <f>IF(Table1[[#This Row],[ID ROW]]&lt;=12,1,INT((Table1[[#This Row],[ID ROW]]-1)/12)+1)</f>
        <v>3</v>
      </c>
      <c r="P178" s="10">
        <f>Table1[[#This Row],[ID ROW]]-((Table1[[#This Row],[SECT]]-1)*12)</f>
        <v>9</v>
      </c>
    </row>
    <row r="179" spans="1:16" ht="15.75" customHeight="1" x14ac:dyDescent="0.3">
      <c r="A179" s="6" t="s">
        <v>661</v>
      </c>
      <c r="B179" s="6" t="s">
        <v>662</v>
      </c>
      <c r="D179" s="6" t="s">
        <v>663</v>
      </c>
      <c r="F179" s="13" t="s">
        <v>664</v>
      </c>
      <c r="G179" s="8">
        <v>178</v>
      </c>
      <c r="H179" s="9" t="s">
        <v>21</v>
      </c>
      <c r="I179" s="9">
        <f t="shared" si="9"/>
        <v>33</v>
      </c>
      <c r="J179" s="9">
        <f t="shared" si="8"/>
        <v>2</v>
      </c>
      <c r="K179" s="10" t="str">
        <f t="shared" si="10"/>
        <v>S1R33B2</v>
      </c>
      <c r="L179" s="10" t="s">
        <v>22</v>
      </c>
      <c r="M179" s="10">
        <f>IF(Table1[[#This Row],[ID ROW]]&lt;=12,Table1[[#This Row],[ID ROW]],Table1[[#This Row],[ID ROW]]+INT((Table1[[#This Row],[ID ROW]]-1)/12)*2)</f>
        <v>37</v>
      </c>
      <c r="N179" s="10" t="str">
        <f t="shared" si="11"/>
        <v>RSR37B2</v>
      </c>
      <c r="O179" s="10">
        <f>IF(Table1[[#This Row],[ID ROW]]&lt;=12,1,INT((Table1[[#This Row],[ID ROW]]-1)/12)+1)</f>
        <v>3</v>
      </c>
      <c r="P179" s="10">
        <f>Table1[[#This Row],[ID ROW]]-((Table1[[#This Row],[SECT]]-1)*12)</f>
        <v>9</v>
      </c>
    </row>
    <row r="180" spans="1:16" ht="15.75" customHeight="1" x14ac:dyDescent="0.25">
      <c r="A180" s="6" t="s">
        <v>43</v>
      </c>
      <c r="B180" s="6" t="s">
        <v>665</v>
      </c>
      <c r="D180" s="6" t="s">
        <v>666</v>
      </c>
      <c r="F180" s="7" t="s">
        <v>667</v>
      </c>
      <c r="G180" s="8">
        <v>179</v>
      </c>
      <c r="H180" s="9" t="s">
        <v>21</v>
      </c>
      <c r="I180" s="9">
        <f t="shared" si="9"/>
        <v>33</v>
      </c>
      <c r="J180" s="9">
        <f t="shared" si="8"/>
        <v>3</v>
      </c>
      <c r="K180" s="10" t="str">
        <f t="shared" si="10"/>
        <v>S1R33B3</v>
      </c>
      <c r="L180" s="10" t="s">
        <v>22</v>
      </c>
      <c r="M180" s="10">
        <f>IF(Table1[[#This Row],[ID ROW]]&lt;=12,Table1[[#This Row],[ID ROW]],Table1[[#This Row],[ID ROW]]+INT((Table1[[#This Row],[ID ROW]]-1)/12)*2)</f>
        <v>37</v>
      </c>
      <c r="N180" s="10" t="str">
        <f t="shared" si="11"/>
        <v>RSR37B3</v>
      </c>
      <c r="O180" s="10">
        <f>IF(Table1[[#This Row],[ID ROW]]&lt;=12,1,INT((Table1[[#This Row],[ID ROW]]-1)/12)+1)</f>
        <v>3</v>
      </c>
      <c r="P180" s="10">
        <f>Table1[[#This Row],[ID ROW]]-((Table1[[#This Row],[SECT]]-1)*12)</f>
        <v>9</v>
      </c>
    </row>
    <row r="181" spans="1:16" ht="15.75" customHeight="1" x14ac:dyDescent="0.3">
      <c r="A181" s="6" t="s">
        <v>165</v>
      </c>
      <c r="B181" s="6" t="s">
        <v>668</v>
      </c>
      <c r="C181" s="6" t="s">
        <v>669</v>
      </c>
      <c r="F181" s="13" t="s">
        <v>667</v>
      </c>
      <c r="G181" s="8">
        <v>180</v>
      </c>
      <c r="H181" s="9" t="s">
        <v>21</v>
      </c>
      <c r="I181" s="9">
        <f t="shared" si="9"/>
        <v>33</v>
      </c>
      <c r="J181" s="9">
        <f t="shared" si="8"/>
        <v>4</v>
      </c>
      <c r="K181" s="10" t="str">
        <f t="shared" si="10"/>
        <v>S1R33B4</v>
      </c>
      <c r="L181" s="10" t="s">
        <v>22</v>
      </c>
      <c r="M181" s="10">
        <f>IF(Table1[[#This Row],[ID ROW]]&lt;=12,Table1[[#This Row],[ID ROW]],Table1[[#This Row],[ID ROW]]+INT((Table1[[#This Row],[ID ROW]]-1)/12)*2)</f>
        <v>37</v>
      </c>
      <c r="N181" s="10" t="str">
        <f t="shared" si="11"/>
        <v>RSR37B4</v>
      </c>
      <c r="O181" s="10">
        <f>IF(Table1[[#This Row],[ID ROW]]&lt;=12,1,INT((Table1[[#This Row],[ID ROW]]-1)/12)+1)</f>
        <v>3</v>
      </c>
      <c r="P181" s="10">
        <f>Table1[[#This Row],[ID ROW]]-((Table1[[#This Row],[SECT]]-1)*12)</f>
        <v>9</v>
      </c>
    </row>
    <row r="182" spans="1:16" ht="15.75" customHeight="1" x14ac:dyDescent="0.25">
      <c r="A182" s="6" t="s">
        <v>670</v>
      </c>
      <c r="B182" s="6" t="s">
        <v>671</v>
      </c>
      <c r="C182" s="6" t="s">
        <v>672</v>
      </c>
      <c r="F182" s="7" t="s">
        <v>673</v>
      </c>
      <c r="G182" s="8">
        <v>181</v>
      </c>
      <c r="H182" s="9" t="s">
        <v>21</v>
      </c>
      <c r="I182" s="9">
        <f t="shared" si="9"/>
        <v>33</v>
      </c>
      <c r="J182" s="9">
        <f t="shared" si="8"/>
        <v>5</v>
      </c>
      <c r="K182" s="10" t="str">
        <f t="shared" si="10"/>
        <v>S1R33B5</v>
      </c>
      <c r="L182" s="10" t="s">
        <v>22</v>
      </c>
      <c r="M182" s="10">
        <f>IF(Table1[[#This Row],[ID ROW]]&lt;=12,Table1[[#This Row],[ID ROW]],Table1[[#This Row],[ID ROW]]+INT((Table1[[#This Row],[ID ROW]]-1)/12)*2)</f>
        <v>37</v>
      </c>
      <c r="N182" s="10" t="str">
        <f t="shared" si="11"/>
        <v>RSR37B5</v>
      </c>
      <c r="O182" s="10">
        <f>IF(Table1[[#This Row],[ID ROW]]&lt;=12,1,INT((Table1[[#This Row],[ID ROW]]-1)/12)+1)</f>
        <v>3</v>
      </c>
      <c r="P182" s="10">
        <f>Table1[[#This Row],[ID ROW]]-((Table1[[#This Row],[SECT]]-1)*12)</f>
        <v>9</v>
      </c>
    </row>
    <row r="183" spans="1:16" ht="15.75" customHeight="1" x14ac:dyDescent="0.3">
      <c r="A183" s="6" t="s">
        <v>674</v>
      </c>
      <c r="B183" s="6" t="s">
        <v>675</v>
      </c>
      <c r="C183" s="6" t="s">
        <v>676</v>
      </c>
      <c r="D183" s="6" t="s">
        <v>67</v>
      </c>
      <c r="F183" s="13" t="s">
        <v>677</v>
      </c>
      <c r="G183" s="8">
        <v>182</v>
      </c>
      <c r="H183" s="9" t="s">
        <v>21</v>
      </c>
      <c r="I183" s="9">
        <f t="shared" si="9"/>
        <v>33</v>
      </c>
      <c r="J183" s="9">
        <f t="shared" si="8"/>
        <v>6</v>
      </c>
      <c r="K183" s="10" t="str">
        <f t="shared" si="10"/>
        <v>S1R33B6</v>
      </c>
      <c r="L183" s="10" t="s">
        <v>22</v>
      </c>
      <c r="M183" s="10">
        <f>IF(Table1[[#This Row],[ID ROW]]&lt;=12,Table1[[#This Row],[ID ROW]],Table1[[#This Row],[ID ROW]]+INT((Table1[[#This Row],[ID ROW]]-1)/12)*2)</f>
        <v>37</v>
      </c>
      <c r="N183" s="10" t="str">
        <f t="shared" si="11"/>
        <v>RSR37B6</v>
      </c>
      <c r="O183" s="10">
        <f>IF(Table1[[#This Row],[ID ROW]]&lt;=12,1,INT((Table1[[#This Row],[ID ROW]]-1)/12)+1)</f>
        <v>3</v>
      </c>
      <c r="P183" s="10">
        <f>Table1[[#This Row],[ID ROW]]-((Table1[[#This Row],[SECT]]-1)*12)</f>
        <v>9</v>
      </c>
    </row>
    <row r="184" spans="1:16" ht="15.75" customHeight="1" x14ac:dyDescent="0.25">
      <c r="A184" s="6" t="s">
        <v>678</v>
      </c>
      <c r="B184" s="6" t="s">
        <v>338</v>
      </c>
      <c r="C184" s="6" t="s">
        <v>117</v>
      </c>
      <c r="F184" s="7" t="s">
        <v>679</v>
      </c>
      <c r="G184" s="8">
        <v>183</v>
      </c>
      <c r="H184" s="9" t="s">
        <v>21</v>
      </c>
      <c r="I184" s="9">
        <f t="shared" si="9"/>
        <v>34</v>
      </c>
      <c r="J184" s="9">
        <f t="shared" si="8"/>
        <v>1</v>
      </c>
      <c r="K184" s="10" t="str">
        <f t="shared" si="10"/>
        <v>S1R34B1</v>
      </c>
      <c r="L184" s="10" t="s">
        <v>22</v>
      </c>
      <c r="M184" s="10">
        <f>IF(Table1[[#This Row],[ID ROW]]&lt;=12,Table1[[#This Row],[ID ROW]],Table1[[#This Row],[ID ROW]]+INT((Table1[[#This Row],[ID ROW]]-1)/12)*2)</f>
        <v>38</v>
      </c>
      <c r="N184" s="10" t="str">
        <f t="shared" si="11"/>
        <v>RSR38B1</v>
      </c>
      <c r="O184" s="10">
        <f>IF(Table1[[#This Row],[ID ROW]]&lt;=12,1,INT((Table1[[#This Row],[ID ROW]]-1)/12)+1)</f>
        <v>3</v>
      </c>
      <c r="P184" s="10">
        <f>Table1[[#This Row],[ID ROW]]-((Table1[[#This Row],[SECT]]-1)*12)</f>
        <v>10</v>
      </c>
    </row>
    <row r="185" spans="1:16" ht="15.75" customHeight="1" x14ac:dyDescent="0.3">
      <c r="A185" s="6" t="s">
        <v>680</v>
      </c>
      <c r="B185" s="6" t="s">
        <v>634</v>
      </c>
      <c r="C185" s="6" t="s">
        <v>117</v>
      </c>
      <c r="F185" s="13" t="s">
        <v>679</v>
      </c>
      <c r="G185" s="8">
        <v>184</v>
      </c>
      <c r="H185" s="9" t="s">
        <v>21</v>
      </c>
      <c r="I185" s="9">
        <f t="shared" si="9"/>
        <v>34</v>
      </c>
      <c r="J185" s="9">
        <f t="shared" si="8"/>
        <v>2</v>
      </c>
      <c r="K185" s="10" t="str">
        <f t="shared" si="10"/>
        <v>S1R34B2</v>
      </c>
      <c r="L185" s="10" t="s">
        <v>22</v>
      </c>
      <c r="M185" s="10">
        <f>IF(Table1[[#This Row],[ID ROW]]&lt;=12,Table1[[#This Row],[ID ROW]],Table1[[#This Row],[ID ROW]]+INT((Table1[[#This Row],[ID ROW]]-1)/12)*2)</f>
        <v>38</v>
      </c>
      <c r="N185" s="10" t="str">
        <f t="shared" si="11"/>
        <v>RSR38B2</v>
      </c>
      <c r="O185" s="10">
        <f>IF(Table1[[#This Row],[ID ROW]]&lt;=12,1,INT((Table1[[#This Row],[ID ROW]]-1)/12)+1)</f>
        <v>3</v>
      </c>
      <c r="P185" s="10">
        <f>Table1[[#This Row],[ID ROW]]-((Table1[[#This Row],[SECT]]-1)*12)</f>
        <v>10</v>
      </c>
    </row>
    <row r="186" spans="1:16" ht="15.75" customHeight="1" x14ac:dyDescent="0.25">
      <c r="A186" s="6" t="s">
        <v>681</v>
      </c>
      <c r="B186" s="6" t="s">
        <v>634</v>
      </c>
      <c r="C186" s="6" t="s">
        <v>117</v>
      </c>
      <c r="F186" s="7" t="s">
        <v>679</v>
      </c>
      <c r="G186" s="8">
        <v>185</v>
      </c>
      <c r="H186" s="9" t="s">
        <v>21</v>
      </c>
      <c r="I186" s="9">
        <f t="shared" si="9"/>
        <v>34</v>
      </c>
      <c r="J186" s="9">
        <f t="shared" si="8"/>
        <v>3</v>
      </c>
      <c r="K186" s="10" t="str">
        <f t="shared" si="10"/>
        <v>S1R34B3</v>
      </c>
      <c r="L186" s="10" t="s">
        <v>22</v>
      </c>
      <c r="M186" s="10">
        <f>IF(Table1[[#This Row],[ID ROW]]&lt;=12,Table1[[#This Row],[ID ROW]],Table1[[#This Row],[ID ROW]]+INT((Table1[[#This Row],[ID ROW]]-1)/12)*2)</f>
        <v>38</v>
      </c>
      <c r="N186" s="10" t="str">
        <f t="shared" si="11"/>
        <v>RSR38B3</v>
      </c>
      <c r="O186" s="10">
        <f>IF(Table1[[#This Row],[ID ROW]]&lt;=12,1,INT((Table1[[#This Row],[ID ROW]]-1)/12)+1)</f>
        <v>3</v>
      </c>
      <c r="P186" s="10">
        <f>Table1[[#This Row],[ID ROW]]-((Table1[[#This Row],[SECT]]-1)*12)</f>
        <v>10</v>
      </c>
    </row>
    <row r="187" spans="1:16" ht="15.75" customHeight="1" x14ac:dyDescent="0.3">
      <c r="A187" s="6" t="s">
        <v>682</v>
      </c>
      <c r="B187" s="6" t="s">
        <v>634</v>
      </c>
      <c r="C187" s="6" t="s">
        <v>117</v>
      </c>
      <c r="F187" s="13" t="s">
        <v>679</v>
      </c>
      <c r="G187" s="8">
        <v>186</v>
      </c>
      <c r="H187" s="9" t="s">
        <v>21</v>
      </c>
      <c r="I187" s="9">
        <f t="shared" si="9"/>
        <v>34</v>
      </c>
      <c r="J187" s="9">
        <f t="shared" si="8"/>
        <v>4</v>
      </c>
      <c r="K187" s="10" t="str">
        <f t="shared" si="10"/>
        <v>S1R34B4</v>
      </c>
      <c r="L187" s="10" t="s">
        <v>22</v>
      </c>
      <c r="M187" s="10">
        <f>IF(Table1[[#This Row],[ID ROW]]&lt;=12,Table1[[#This Row],[ID ROW]],Table1[[#This Row],[ID ROW]]+INT((Table1[[#This Row],[ID ROW]]-1)/12)*2)</f>
        <v>38</v>
      </c>
      <c r="N187" s="10" t="str">
        <f t="shared" si="11"/>
        <v>RSR38B4</v>
      </c>
      <c r="O187" s="10">
        <f>IF(Table1[[#This Row],[ID ROW]]&lt;=12,1,INT((Table1[[#This Row],[ID ROW]]-1)/12)+1)</f>
        <v>3</v>
      </c>
      <c r="P187" s="10">
        <f>Table1[[#This Row],[ID ROW]]-((Table1[[#This Row],[SECT]]-1)*12)</f>
        <v>10</v>
      </c>
    </row>
    <row r="188" spans="1:16" ht="15.75" customHeight="1" x14ac:dyDescent="0.25">
      <c r="A188" s="16" t="s">
        <v>683</v>
      </c>
      <c r="B188" s="16" t="s">
        <v>634</v>
      </c>
      <c r="C188" s="16" t="s">
        <v>117</v>
      </c>
      <c r="D188" s="16"/>
      <c r="F188" s="7" t="s">
        <v>679</v>
      </c>
      <c r="G188" s="8">
        <v>187</v>
      </c>
      <c r="H188" s="9" t="s">
        <v>21</v>
      </c>
      <c r="I188" s="9">
        <f t="shared" si="9"/>
        <v>34</v>
      </c>
      <c r="J188" s="9">
        <f t="shared" si="8"/>
        <v>5</v>
      </c>
      <c r="K188" s="10" t="str">
        <f t="shared" si="10"/>
        <v>S1R34B5</v>
      </c>
      <c r="L188" s="10" t="s">
        <v>22</v>
      </c>
      <c r="M188" s="10">
        <f>IF(Table1[[#This Row],[ID ROW]]&lt;=12,Table1[[#This Row],[ID ROW]],Table1[[#This Row],[ID ROW]]+INT((Table1[[#This Row],[ID ROW]]-1)/12)*2)</f>
        <v>38</v>
      </c>
      <c r="N188" s="10" t="str">
        <f t="shared" si="11"/>
        <v>RSR38B5</v>
      </c>
      <c r="O188" s="10">
        <f>IF(Table1[[#This Row],[ID ROW]]&lt;=12,1,INT((Table1[[#This Row],[ID ROW]]-1)/12)+1)</f>
        <v>3</v>
      </c>
      <c r="P188" s="10">
        <f>Table1[[#This Row],[ID ROW]]-((Table1[[#This Row],[SECT]]-1)*12)</f>
        <v>10</v>
      </c>
    </row>
    <row r="189" spans="1:16" ht="15.75" customHeight="1" x14ac:dyDescent="0.3">
      <c r="A189" s="16" t="s">
        <v>684</v>
      </c>
      <c r="B189" s="16" t="s">
        <v>404</v>
      </c>
      <c r="C189" s="16" t="s">
        <v>117</v>
      </c>
      <c r="D189" s="16"/>
      <c r="F189" s="13" t="s">
        <v>679</v>
      </c>
      <c r="G189" s="8">
        <v>188</v>
      </c>
      <c r="H189" s="9" t="s">
        <v>21</v>
      </c>
      <c r="I189" s="9">
        <f t="shared" si="9"/>
        <v>35</v>
      </c>
      <c r="J189" s="9">
        <f t="shared" si="8"/>
        <v>1</v>
      </c>
      <c r="K189" s="10" t="str">
        <f t="shared" si="10"/>
        <v>S1R35B1</v>
      </c>
      <c r="L189" s="10" t="s">
        <v>22</v>
      </c>
      <c r="M189" s="10">
        <f>IF(Table1[[#This Row],[ID ROW]]&lt;=12,Table1[[#This Row],[ID ROW]],Table1[[#This Row],[ID ROW]]+INT((Table1[[#This Row],[ID ROW]]-1)/12)*2)</f>
        <v>39</v>
      </c>
      <c r="N189" s="10" t="str">
        <f t="shared" si="11"/>
        <v>RSR39B1</v>
      </c>
      <c r="O189" s="10">
        <f>IF(Table1[[#This Row],[ID ROW]]&lt;=12,1,INT((Table1[[#This Row],[ID ROW]]-1)/12)+1)</f>
        <v>3</v>
      </c>
      <c r="P189" s="10">
        <f>Table1[[#This Row],[ID ROW]]-((Table1[[#This Row],[SECT]]-1)*12)</f>
        <v>11</v>
      </c>
    </row>
    <row r="190" spans="1:16" ht="15.75" customHeight="1" x14ac:dyDescent="0.25">
      <c r="A190" s="16" t="s">
        <v>685</v>
      </c>
      <c r="B190" s="16" t="s">
        <v>404</v>
      </c>
      <c r="C190" s="16" t="s">
        <v>117</v>
      </c>
      <c r="D190" s="16"/>
      <c r="F190" s="7" t="s">
        <v>679</v>
      </c>
      <c r="G190" s="8">
        <v>189</v>
      </c>
      <c r="H190" s="9" t="s">
        <v>21</v>
      </c>
      <c r="I190" s="9">
        <f t="shared" si="9"/>
        <v>35</v>
      </c>
      <c r="J190" s="9">
        <f t="shared" si="8"/>
        <v>2</v>
      </c>
      <c r="K190" s="10" t="str">
        <f t="shared" si="10"/>
        <v>S1R35B2</v>
      </c>
      <c r="L190" s="10" t="s">
        <v>22</v>
      </c>
      <c r="M190" s="10">
        <f>IF(Table1[[#This Row],[ID ROW]]&lt;=12,Table1[[#This Row],[ID ROW]],Table1[[#This Row],[ID ROW]]+INT((Table1[[#This Row],[ID ROW]]-1)/12)*2)</f>
        <v>39</v>
      </c>
      <c r="N190" s="10" t="str">
        <f t="shared" si="11"/>
        <v>RSR39B2</v>
      </c>
      <c r="O190" s="10">
        <f>IF(Table1[[#This Row],[ID ROW]]&lt;=12,1,INT((Table1[[#This Row],[ID ROW]]-1)/12)+1)</f>
        <v>3</v>
      </c>
      <c r="P190" s="10">
        <f>Table1[[#This Row],[ID ROW]]-((Table1[[#This Row],[SECT]]-1)*12)</f>
        <v>11</v>
      </c>
    </row>
    <row r="191" spans="1:16" ht="15.75" customHeight="1" x14ac:dyDescent="0.3">
      <c r="A191" s="16" t="s">
        <v>686</v>
      </c>
      <c r="B191" s="16" t="s">
        <v>338</v>
      </c>
      <c r="C191" s="16" t="s">
        <v>687</v>
      </c>
      <c r="D191" s="16" t="s">
        <v>688</v>
      </c>
      <c r="F191" s="13" t="s">
        <v>689</v>
      </c>
      <c r="G191" s="8">
        <v>190</v>
      </c>
      <c r="H191" s="9" t="s">
        <v>21</v>
      </c>
      <c r="I191" s="9">
        <f t="shared" si="9"/>
        <v>35</v>
      </c>
      <c r="J191" s="9">
        <f t="shared" si="8"/>
        <v>3</v>
      </c>
      <c r="K191" s="10" t="str">
        <f t="shared" si="10"/>
        <v>S1R35B3</v>
      </c>
      <c r="L191" s="10" t="s">
        <v>22</v>
      </c>
      <c r="M191" s="10">
        <f>IF(Table1[[#This Row],[ID ROW]]&lt;=12,Table1[[#This Row],[ID ROW]],Table1[[#This Row],[ID ROW]]+INT((Table1[[#This Row],[ID ROW]]-1)/12)*2)</f>
        <v>39</v>
      </c>
      <c r="N191" s="10" t="str">
        <f t="shared" si="11"/>
        <v>RSR39B3</v>
      </c>
      <c r="O191" s="10">
        <f>IF(Table1[[#This Row],[ID ROW]]&lt;=12,1,INT((Table1[[#This Row],[ID ROW]]-1)/12)+1)</f>
        <v>3</v>
      </c>
      <c r="P191" s="10">
        <f>Table1[[#This Row],[ID ROW]]-((Table1[[#This Row],[SECT]]-1)*12)</f>
        <v>11</v>
      </c>
    </row>
    <row r="192" spans="1:16" ht="15.75" customHeight="1" x14ac:dyDescent="0.25">
      <c r="A192" s="6" t="s">
        <v>690</v>
      </c>
      <c r="B192" s="6" t="s">
        <v>691</v>
      </c>
      <c r="C192" s="12" t="s">
        <v>692</v>
      </c>
      <c r="F192" s="7" t="s">
        <v>693</v>
      </c>
      <c r="G192" s="8">
        <v>191</v>
      </c>
      <c r="H192" s="9" t="s">
        <v>21</v>
      </c>
      <c r="I192" s="9">
        <f t="shared" si="9"/>
        <v>35</v>
      </c>
      <c r="J192" s="9">
        <f t="shared" si="8"/>
        <v>4</v>
      </c>
      <c r="K192" s="10" t="str">
        <f t="shared" si="10"/>
        <v>S1R35B4</v>
      </c>
      <c r="L192" s="10" t="s">
        <v>22</v>
      </c>
      <c r="M192" s="10">
        <f>IF(Table1[[#This Row],[ID ROW]]&lt;=12,Table1[[#This Row],[ID ROW]],Table1[[#This Row],[ID ROW]]+INT((Table1[[#This Row],[ID ROW]]-1)/12)*2)</f>
        <v>39</v>
      </c>
      <c r="N192" s="10" t="str">
        <f t="shared" si="11"/>
        <v>RSR39B4</v>
      </c>
      <c r="O192" s="10">
        <f>IF(Table1[[#This Row],[ID ROW]]&lt;=12,1,INT((Table1[[#This Row],[ID ROW]]-1)/12)+1)</f>
        <v>3</v>
      </c>
      <c r="P192" s="10">
        <f>Table1[[#This Row],[ID ROW]]-((Table1[[#This Row],[SECT]]-1)*12)</f>
        <v>11</v>
      </c>
    </row>
    <row r="193" spans="1:16" ht="15.75" customHeight="1" x14ac:dyDescent="0.3">
      <c r="A193" s="6" t="s">
        <v>694</v>
      </c>
      <c r="B193" s="6" t="s">
        <v>695</v>
      </c>
      <c r="C193" s="6" t="s">
        <v>696</v>
      </c>
      <c r="F193" s="13" t="s">
        <v>697</v>
      </c>
      <c r="G193" s="8">
        <v>192</v>
      </c>
      <c r="H193" s="9" t="s">
        <v>21</v>
      </c>
      <c r="I193" s="9">
        <f t="shared" si="9"/>
        <v>35</v>
      </c>
      <c r="J193" s="9">
        <f t="shared" si="8"/>
        <v>5</v>
      </c>
      <c r="K193" s="10" t="str">
        <f t="shared" si="10"/>
        <v>S1R35B5</v>
      </c>
      <c r="L193" s="10" t="s">
        <v>22</v>
      </c>
      <c r="M193" s="10">
        <f>IF(Table1[[#This Row],[ID ROW]]&lt;=12,Table1[[#This Row],[ID ROW]],Table1[[#This Row],[ID ROW]]+INT((Table1[[#This Row],[ID ROW]]-1)/12)*2)</f>
        <v>39</v>
      </c>
      <c r="N193" s="10" t="str">
        <f t="shared" si="11"/>
        <v>RSR39B5</v>
      </c>
      <c r="O193" s="10">
        <f>IF(Table1[[#This Row],[ID ROW]]&lt;=12,1,INT((Table1[[#This Row],[ID ROW]]-1)/12)+1)</f>
        <v>3</v>
      </c>
      <c r="P193" s="10">
        <f>Table1[[#This Row],[ID ROW]]-((Table1[[#This Row],[SECT]]-1)*12)</f>
        <v>11</v>
      </c>
    </row>
    <row r="194" spans="1:16" ht="15.75" customHeight="1" x14ac:dyDescent="0.25">
      <c r="A194" s="6" t="s">
        <v>698</v>
      </c>
      <c r="B194" s="6" t="s">
        <v>699</v>
      </c>
      <c r="C194" s="6" t="s">
        <v>700</v>
      </c>
      <c r="D194" s="6" t="s">
        <v>701</v>
      </c>
      <c r="F194" s="7" t="s">
        <v>702</v>
      </c>
      <c r="G194" s="8">
        <v>193</v>
      </c>
      <c r="H194" s="9" t="s">
        <v>21</v>
      </c>
      <c r="I194" s="9">
        <f t="shared" si="9"/>
        <v>35</v>
      </c>
      <c r="J194" s="9">
        <f t="shared" ref="J194:J257" si="12">IF(MOD(G194-1,11)&lt;6,(MOD(G194-1,11)+1-(5*FLOOR(MOD(G194-1,11),6))),(MOD(G194-1,11))-5)</f>
        <v>6</v>
      </c>
      <c r="K194" s="10" t="str">
        <f t="shared" si="10"/>
        <v>S1R35B6</v>
      </c>
      <c r="L194" s="10" t="s">
        <v>22</v>
      </c>
      <c r="M194" s="10">
        <f>IF(Table1[[#This Row],[ID ROW]]&lt;=12,Table1[[#This Row],[ID ROW]],Table1[[#This Row],[ID ROW]]+INT((Table1[[#This Row],[ID ROW]]-1)/12)*2)</f>
        <v>39</v>
      </c>
      <c r="N194" s="10" t="str">
        <f t="shared" si="11"/>
        <v>RSR39B6</v>
      </c>
      <c r="O194" s="10">
        <f>IF(Table1[[#This Row],[ID ROW]]&lt;=12,1,INT((Table1[[#This Row],[ID ROW]]-1)/12)+1)</f>
        <v>3</v>
      </c>
      <c r="P194" s="10">
        <f>Table1[[#This Row],[ID ROW]]-((Table1[[#This Row],[SECT]]-1)*12)</f>
        <v>11</v>
      </c>
    </row>
    <row r="195" spans="1:16" ht="15.75" customHeight="1" x14ac:dyDescent="0.3">
      <c r="A195" s="6" t="s">
        <v>703</v>
      </c>
      <c r="B195" s="6" t="s">
        <v>704</v>
      </c>
      <c r="C195" s="6" t="s">
        <v>705</v>
      </c>
      <c r="D195" s="6" t="s">
        <v>706</v>
      </c>
      <c r="F195" s="13" t="s">
        <v>707</v>
      </c>
      <c r="G195" s="8">
        <v>194</v>
      </c>
      <c r="H195" s="9" t="s">
        <v>21</v>
      </c>
      <c r="I195" s="9">
        <f t="shared" ref="I195:I258" si="13">INT((G195-1)/11)*2 + IF(MOD(G195-1, 11) &lt; 6, 1, 2)</f>
        <v>36</v>
      </c>
      <c r="J195" s="9">
        <f t="shared" si="12"/>
        <v>1</v>
      </c>
      <c r="K195" s="10" t="str">
        <f t="shared" ref="K195:K258" si="14">H195&amp;"R"&amp;I195&amp;"B"&amp;J195</f>
        <v>S1R36B1</v>
      </c>
      <c r="L195" s="10" t="s">
        <v>22</v>
      </c>
      <c r="M195" s="10">
        <f>IF(Table1[[#This Row],[ID ROW]]&lt;=12,Table1[[#This Row],[ID ROW]],Table1[[#This Row],[ID ROW]]+INT((Table1[[#This Row],[ID ROW]]-1)/12)*2)</f>
        <v>40</v>
      </c>
      <c r="N195" s="10" t="str">
        <f t="shared" ref="N195:N258" si="15">L195&amp;"R"&amp;M195&amp;"B"&amp;J195</f>
        <v>RSR40B1</v>
      </c>
      <c r="O195" s="10">
        <f>IF(Table1[[#This Row],[ID ROW]]&lt;=12,1,INT((Table1[[#This Row],[ID ROW]]-1)/12)+1)</f>
        <v>3</v>
      </c>
      <c r="P195" s="10">
        <f>Table1[[#This Row],[ID ROW]]-((Table1[[#This Row],[SECT]]-1)*12)</f>
        <v>12</v>
      </c>
    </row>
    <row r="196" spans="1:16" ht="15.75" customHeight="1" x14ac:dyDescent="0.25">
      <c r="A196" s="6" t="s">
        <v>708</v>
      </c>
      <c r="B196" s="6" t="s">
        <v>709</v>
      </c>
      <c r="C196" s="6" t="s">
        <v>710</v>
      </c>
      <c r="F196" s="7" t="s">
        <v>711</v>
      </c>
      <c r="G196" s="8">
        <v>195</v>
      </c>
      <c r="H196" s="9" t="s">
        <v>21</v>
      </c>
      <c r="I196" s="9">
        <f t="shared" si="13"/>
        <v>36</v>
      </c>
      <c r="J196" s="9">
        <f t="shared" si="12"/>
        <v>2</v>
      </c>
      <c r="K196" s="10" t="str">
        <f t="shared" si="14"/>
        <v>S1R36B2</v>
      </c>
      <c r="L196" s="10" t="s">
        <v>22</v>
      </c>
      <c r="M196" s="10">
        <f>IF(Table1[[#This Row],[ID ROW]]&lt;=12,Table1[[#This Row],[ID ROW]],Table1[[#This Row],[ID ROW]]+INT((Table1[[#This Row],[ID ROW]]-1)/12)*2)</f>
        <v>40</v>
      </c>
      <c r="N196" s="10" t="str">
        <f t="shared" si="15"/>
        <v>RSR40B2</v>
      </c>
      <c r="O196" s="10">
        <f>IF(Table1[[#This Row],[ID ROW]]&lt;=12,1,INT((Table1[[#This Row],[ID ROW]]-1)/12)+1)</f>
        <v>3</v>
      </c>
      <c r="P196" s="10">
        <f>Table1[[#This Row],[ID ROW]]-((Table1[[#This Row],[SECT]]-1)*12)</f>
        <v>12</v>
      </c>
    </row>
    <row r="197" spans="1:16" ht="15.75" customHeight="1" x14ac:dyDescent="0.3">
      <c r="A197" s="6" t="s">
        <v>712</v>
      </c>
      <c r="B197" s="6" t="s">
        <v>234</v>
      </c>
      <c r="C197" s="6" t="s">
        <v>713</v>
      </c>
      <c r="F197" s="13" t="s">
        <v>714</v>
      </c>
      <c r="G197" s="8">
        <v>196</v>
      </c>
      <c r="H197" s="9" t="s">
        <v>21</v>
      </c>
      <c r="I197" s="9">
        <f t="shared" si="13"/>
        <v>36</v>
      </c>
      <c r="J197" s="9">
        <f t="shared" si="12"/>
        <v>3</v>
      </c>
      <c r="K197" s="10" t="str">
        <f t="shared" si="14"/>
        <v>S1R36B3</v>
      </c>
      <c r="L197" s="10" t="s">
        <v>22</v>
      </c>
      <c r="M197" s="10">
        <f>IF(Table1[[#This Row],[ID ROW]]&lt;=12,Table1[[#This Row],[ID ROW]],Table1[[#This Row],[ID ROW]]+INT((Table1[[#This Row],[ID ROW]]-1)/12)*2)</f>
        <v>40</v>
      </c>
      <c r="N197" s="10" t="str">
        <f t="shared" si="15"/>
        <v>RSR40B3</v>
      </c>
      <c r="O197" s="10">
        <f>IF(Table1[[#This Row],[ID ROW]]&lt;=12,1,INT((Table1[[#This Row],[ID ROW]]-1)/12)+1)</f>
        <v>3</v>
      </c>
      <c r="P197" s="10">
        <f>Table1[[#This Row],[ID ROW]]-((Table1[[#This Row],[SECT]]-1)*12)</f>
        <v>12</v>
      </c>
    </row>
    <row r="198" spans="1:16" ht="15.75" customHeight="1" x14ac:dyDescent="0.25">
      <c r="A198" s="6" t="s">
        <v>715</v>
      </c>
      <c r="B198" s="6" t="s">
        <v>716</v>
      </c>
      <c r="F198" s="7" t="s">
        <v>717</v>
      </c>
      <c r="G198" s="8">
        <v>197</v>
      </c>
      <c r="H198" s="9" t="s">
        <v>21</v>
      </c>
      <c r="I198" s="9">
        <f t="shared" si="13"/>
        <v>36</v>
      </c>
      <c r="J198" s="9">
        <f t="shared" si="12"/>
        <v>4</v>
      </c>
      <c r="K198" s="10" t="str">
        <f t="shared" si="14"/>
        <v>S1R36B4</v>
      </c>
      <c r="L198" s="10" t="s">
        <v>22</v>
      </c>
      <c r="M198" s="10">
        <f>IF(Table1[[#This Row],[ID ROW]]&lt;=12,Table1[[#This Row],[ID ROW]],Table1[[#This Row],[ID ROW]]+INT((Table1[[#This Row],[ID ROW]]-1)/12)*2)</f>
        <v>40</v>
      </c>
      <c r="N198" s="10" t="str">
        <f t="shared" si="15"/>
        <v>RSR40B4</v>
      </c>
      <c r="O198" s="10">
        <f>IF(Table1[[#This Row],[ID ROW]]&lt;=12,1,INT((Table1[[#This Row],[ID ROW]]-1)/12)+1)</f>
        <v>3</v>
      </c>
      <c r="P198" s="10">
        <f>Table1[[#This Row],[ID ROW]]-((Table1[[#This Row],[SECT]]-1)*12)</f>
        <v>12</v>
      </c>
    </row>
    <row r="199" spans="1:16" ht="15.75" customHeight="1" x14ac:dyDescent="0.3">
      <c r="A199" s="6" t="s">
        <v>117</v>
      </c>
      <c r="B199" s="6" t="s">
        <v>718</v>
      </c>
      <c r="D199" s="6" t="s">
        <v>719</v>
      </c>
      <c r="F199" s="13" t="s">
        <v>720</v>
      </c>
      <c r="G199" s="8">
        <v>198</v>
      </c>
      <c r="H199" s="9" t="s">
        <v>21</v>
      </c>
      <c r="I199" s="9">
        <f t="shared" si="13"/>
        <v>36</v>
      </c>
      <c r="J199" s="9">
        <f t="shared" si="12"/>
        <v>5</v>
      </c>
      <c r="K199" s="10" t="str">
        <f t="shared" si="14"/>
        <v>S1R36B5</v>
      </c>
      <c r="L199" s="10" t="s">
        <v>22</v>
      </c>
      <c r="M199" s="10">
        <f>IF(Table1[[#This Row],[ID ROW]]&lt;=12,Table1[[#This Row],[ID ROW]],Table1[[#This Row],[ID ROW]]+INT((Table1[[#This Row],[ID ROW]]-1)/12)*2)</f>
        <v>40</v>
      </c>
      <c r="N199" s="10" t="str">
        <f t="shared" si="15"/>
        <v>RSR40B5</v>
      </c>
      <c r="O199" s="10">
        <f>IF(Table1[[#This Row],[ID ROW]]&lt;=12,1,INT((Table1[[#This Row],[ID ROW]]-1)/12)+1)</f>
        <v>3</v>
      </c>
      <c r="P199" s="10">
        <f>Table1[[#This Row],[ID ROW]]-((Table1[[#This Row],[SECT]]-1)*12)</f>
        <v>12</v>
      </c>
    </row>
    <row r="200" spans="1:16" ht="15.75" customHeight="1" x14ac:dyDescent="0.25">
      <c r="A200" s="6" t="s">
        <v>721</v>
      </c>
      <c r="B200" s="6" t="s">
        <v>722</v>
      </c>
      <c r="C200" s="6" t="s">
        <v>723</v>
      </c>
      <c r="F200" s="7" t="s">
        <v>724</v>
      </c>
      <c r="G200" s="8">
        <v>199</v>
      </c>
      <c r="H200" s="9" t="s">
        <v>21</v>
      </c>
      <c r="I200" s="9">
        <f t="shared" si="13"/>
        <v>37</v>
      </c>
      <c r="J200" s="9">
        <f t="shared" si="12"/>
        <v>1</v>
      </c>
      <c r="K200" s="10" t="str">
        <f t="shared" si="14"/>
        <v>S1R37B1</v>
      </c>
      <c r="L200" s="10" t="s">
        <v>22</v>
      </c>
      <c r="M200" s="10">
        <f>IF(Table1[[#This Row],[ID ROW]]&lt;=12,Table1[[#This Row],[ID ROW]],Table1[[#This Row],[ID ROW]]+INT((Table1[[#This Row],[ID ROW]]-1)/12)*2)</f>
        <v>43</v>
      </c>
      <c r="N200" s="10" t="str">
        <f t="shared" si="15"/>
        <v>RSR43B1</v>
      </c>
      <c r="O200" s="10">
        <f>IF(Table1[[#This Row],[ID ROW]]&lt;=12,1,INT((Table1[[#This Row],[ID ROW]]-1)/12)+1)</f>
        <v>4</v>
      </c>
      <c r="P200" s="10">
        <f>Table1[[#This Row],[ID ROW]]-((Table1[[#This Row],[SECT]]-1)*12)</f>
        <v>1</v>
      </c>
    </row>
    <row r="201" spans="1:16" ht="15.75" customHeight="1" x14ac:dyDescent="0.3">
      <c r="A201" s="6" t="s">
        <v>725</v>
      </c>
      <c r="B201" s="6" t="s">
        <v>726</v>
      </c>
      <c r="C201" s="6" t="s">
        <v>727</v>
      </c>
      <c r="F201" s="13" t="s">
        <v>728</v>
      </c>
      <c r="G201" s="8">
        <v>200</v>
      </c>
      <c r="H201" s="9" t="s">
        <v>21</v>
      </c>
      <c r="I201" s="9">
        <f t="shared" si="13"/>
        <v>37</v>
      </c>
      <c r="J201" s="9">
        <f t="shared" si="12"/>
        <v>2</v>
      </c>
      <c r="K201" s="10" t="str">
        <f t="shared" si="14"/>
        <v>S1R37B2</v>
      </c>
      <c r="L201" s="10" t="s">
        <v>22</v>
      </c>
      <c r="M201" s="10">
        <f>IF(Table1[[#This Row],[ID ROW]]&lt;=12,Table1[[#This Row],[ID ROW]],Table1[[#This Row],[ID ROW]]+INT((Table1[[#This Row],[ID ROW]]-1)/12)*2)</f>
        <v>43</v>
      </c>
      <c r="N201" s="10" t="str">
        <f t="shared" si="15"/>
        <v>RSR43B2</v>
      </c>
      <c r="O201" s="10">
        <f>IF(Table1[[#This Row],[ID ROW]]&lt;=12,1,INT((Table1[[#This Row],[ID ROW]]-1)/12)+1)</f>
        <v>4</v>
      </c>
      <c r="P201" s="10">
        <f>Table1[[#This Row],[ID ROW]]-((Table1[[#This Row],[SECT]]-1)*12)</f>
        <v>1</v>
      </c>
    </row>
    <row r="202" spans="1:16" ht="15.75" customHeight="1" x14ac:dyDescent="0.25">
      <c r="A202" s="6" t="s">
        <v>729</v>
      </c>
      <c r="B202" s="6" t="s">
        <v>730</v>
      </c>
      <c r="C202" s="6" t="s">
        <v>731</v>
      </c>
      <c r="D202" s="6" t="s">
        <v>117</v>
      </c>
      <c r="F202" s="7" t="s">
        <v>732</v>
      </c>
      <c r="G202" s="8">
        <v>201</v>
      </c>
      <c r="H202" s="9" t="s">
        <v>21</v>
      </c>
      <c r="I202" s="9">
        <f t="shared" si="13"/>
        <v>37</v>
      </c>
      <c r="J202" s="9">
        <f t="shared" si="12"/>
        <v>3</v>
      </c>
      <c r="K202" s="10" t="str">
        <f t="shared" si="14"/>
        <v>S1R37B3</v>
      </c>
      <c r="L202" s="10" t="s">
        <v>22</v>
      </c>
      <c r="M202" s="10">
        <f>IF(Table1[[#This Row],[ID ROW]]&lt;=12,Table1[[#This Row],[ID ROW]],Table1[[#This Row],[ID ROW]]+INT((Table1[[#This Row],[ID ROW]]-1)/12)*2)</f>
        <v>43</v>
      </c>
      <c r="N202" s="10" t="str">
        <f t="shared" si="15"/>
        <v>RSR43B3</v>
      </c>
      <c r="O202" s="10">
        <f>IF(Table1[[#This Row],[ID ROW]]&lt;=12,1,INT((Table1[[#This Row],[ID ROW]]-1)/12)+1)</f>
        <v>4</v>
      </c>
      <c r="P202" s="10">
        <f>Table1[[#This Row],[ID ROW]]-((Table1[[#This Row],[SECT]]-1)*12)</f>
        <v>1</v>
      </c>
    </row>
    <row r="203" spans="1:16" ht="15.75" customHeight="1" x14ac:dyDescent="0.3">
      <c r="A203" s="6" t="s">
        <v>733</v>
      </c>
      <c r="B203" s="6" t="s">
        <v>734</v>
      </c>
      <c r="C203" s="6" t="s">
        <v>117</v>
      </c>
      <c r="F203" s="13" t="s">
        <v>732</v>
      </c>
      <c r="G203" s="8">
        <v>202</v>
      </c>
      <c r="H203" s="9" t="s">
        <v>21</v>
      </c>
      <c r="I203" s="9">
        <f t="shared" si="13"/>
        <v>37</v>
      </c>
      <c r="J203" s="9">
        <f t="shared" si="12"/>
        <v>4</v>
      </c>
      <c r="K203" s="10" t="str">
        <f t="shared" si="14"/>
        <v>S1R37B4</v>
      </c>
      <c r="L203" s="10" t="s">
        <v>22</v>
      </c>
      <c r="M203" s="10">
        <f>IF(Table1[[#This Row],[ID ROW]]&lt;=12,Table1[[#This Row],[ID ROW]],Table1[[#This Row],[ID ROW]]+INT((Table1[[#This Row],[ID ROW]]-1)/12)*2)</f>
        <v>43</v>
      </c>
      <c r="N203" s="10" t="str">
        <f t="shared" si="15"/>
        <v>RSR43B4</v>
      </c>
      <c r="O203" s="10">
        <f>IF(Table1[[#This Row],[ID ROW]]&lt;=12,1,INT((Table1[[#This Row],[ID ROW]]-1)/12)+1)</f>
        <v>4</v>
      </c>
      <c r="P203" s="10">
        <f>Table1[[#This Row],[ID ROW]]-((Table1[[#This Row],[SECT]]-1)*12)</f>
        <v>1</v>
      </c>
    </row>
    <row r="204" spans="1:16" ht="15.75" customHeight="1" x14ac:dyDescent="0.25">
      <c r="A204" s="16" t="s">
        <v>735</v>
      </c>
      <c r="B204" s="16" t="s">
        <v>736</v>
      </c>
      <c r="C204" s="16" t="s">
        <v>737</v>
      </c>
      <c r="D204" s="16" t="s">
        <v>738</v>
      </c>
      <c r="F204" s="7" t="s">
        <v>739</v>
      </c>
      <c r="G204" s="8">
        <v>203</v>
      </c>
      <c r="H204" s="9" t="s">
        <v>21</v>
      </c>
      <c r="I204" s="9">
        <f t="shared" si="13"/>
        <v>37</v>
      </c>
      <c r="J204" s="9">
        <f t="shared" si="12"/>
        <v>5</v>
      </c>
      <c r="K204" s="10" t="str">
        <f t="shared" si="14"/>
        <v>S1R37B5</v>
      </c>
      <c r="L204" s="10" t="s">
        <v>22</v>
      </c>
      <c r="M204" s="10">
        <f>IF(Table1[[#This Row],[ID ROW]]&lt;=12,Table1[[#This Row],[ID ROW]],Table1[[#This Row],[ID ROW]]+INT((Table1[[#This Row],[ID ROW]]-1)/12)*2)</f>
        <v>43</v>
      </c>
      <c r="N204" s="10" t="str">
        <f t="shared" si="15"/>
        <v>RSR43B5</v>
      </c>
      <c r="O204" s="10">
        <f>IF(Table1[[#This Row],[ID ROW]]&lt;=12,1,INT((Table1[[#This Row],[ID ROW]]-1)/12)+1)</f>
        <v>4</v>
      </c>
      <c r="P204" s="10">
        <f>Table1[[#This Row],[ID ROW]]-((Table1[[#This Row],[SECT]]-1)*12)</f>
        <v>1</v>
      </c>
    </row>
    <row r="205" spans="1:16" ht="15.75" customHeight="1" x14ac:dyDescent="0.3">
      <c r="A205" s="16" t="s">
        <v>740</v>
      </c>
      <c r="B205" s="16" t="s">
        <v>741</v>
      </c>
      <c r="C205" s="16" t="s">
        <v>742</v>
      </c>
      <c r="D205" s="16" t="s">
        <v>743</v>
      </c>
      <c r="F205" s="13" t="s">
        <v>744</v>
      </c>
      <c r="G205" s="8">
        <v>204</v>
      </c>
      <c r="H205" s="9" t="s">
        <v>21</v>
      </c>
      <c r="I205" s="9">
        <f t="shared" si="13"/>
        <v>37</v>
      </c>
      <c r="J205" s="9">
        <f t="shared" si="12"/>
        <v>6</v>
      </c>
      <c r="K205" s="10" t="str">
        <f t="shared" si="14"/>
        <v>S1R37B6</v>
      </c>
      <c r="L205" s="10" t="s">
        <v>22</v>
      </c>
      <c r="M205" s="10">
        <f>IF(Table1[[#This Row],[ID ROW]]&lt;=12,Table1[[#This Row],[ID ROW]],Table1[[#This Row],[ID ROW]]+INT((Table1[[#This Row],[ID ROW]]-1)/12)*2)</f>
        <v>43</v>
      </c>
      <c r="N205" s="10" t="str">
        <f t="shared" si="15"/>
        <v>RSR43B6</v>
      </c>
      <c r="O205" s="10">
        <f>IF(Table1[[#This Row],[ID ROW]]&lt;=12,1,INT((Table1[[#This Row],[ID ROW]]-1)/12)+1)</f>
        <v>4</v>
      </c>
      <c r="P205" s="10">
        <f>Table1[[#This Row],[ID ROW]]-((Table1[[#This Row],[SECT]]-1)*12)</f>
        <v>1</v>
      </c>
    </row>
    <row r="206" spans="1:16" ht="15.75" customHeight="1" x14ac:dyDescent="0.25">
      <c r="A206" s="16" t="s">
        <v>745</v>
      </c>
      <c r="B206" s="16" t="s">
        <v>214</v>
      </c>
      <c r="C206" s="16" t="s">
        <v>746</v>
      </c>
      <c r="D206" s="16"/>
      <c r="F206" s="7" t="s">
        <v>747</v>
      </c>
      <c r="G206" s="8">
        <v>205</v>
      </c>
      <c r="H206" s="9" t="s">
        <v>21</v>
      </c>
      <c r="I206" s="9">
        <f t="shared" si="13"/>
        <v>38</v>
      </c>
      <c r="J206" s="9">
        <f t="shared" si="12"/>
        <v>1</v>
      </c>
      <c r="K206" s="10" t="str">
        <f t="shared" si="14"/>
        <v>S1R38B1</v>
      </c>
      <c r="L206" s="10" t="s">
        <v>22</v>
      </c>
      <c r="M206" s="10">
        <f>IF(Table1[[#This Row],[ID ROW]]&lt;=12,Table1[[#This Row],[ID ROW]],Table1[[#This Row],[ID ROW]]+INT((Table1[[#This Row],[ID ROW]]-1)/12)*2)</f>
        <v>44</v>
      </c>
      <c r="N206" s="10" t="str">
        <f t="shared" si="15"/>
        <v>RSR44B1</v>
      </c>
      <c r="O206" s="10">
        <f>IF(Table1[[#This Row],[ID ROW]]&lt;=12,1,INT((Table1[[#This Row],[ID ROW]]-1)/12)+1)</f>
        <v>4</v>
      </c>
      <c r="P206" s="10">
        <f>Table1[[#This Row],[ID ROW]]-((Table1[[#This Row],[SECT]]-1)*12)</f>
        <v>2</v>
      </c>
    </row>
    <row r="207" spans="1:16" ht="15.75" customHeight="1" x14ac:dyDescent="0.3">
      <c r="A207" s="16" t="s">
        <v>130</v>
      </c>
      <c r="B207" s="16" t="s">
        <v>250</v>
      </c>
      <c r="C207" s="16" t="s">
        <v>748</v>
      </c>
      <c r="D207" s="16"/>
      <c r="F207" s="13" t="s">
        <v>749</v>
      </c>
      <c r="G207" s="8">
        <v>206</v>
      </c>
      <c r="H207" s="9" t="s">
        <v>21</v>
      </c>
      <c r="I207" s="9">
        <f t="shared" si="13"/>
        <v>38</v>
      </c>
      <c r="J207" s="9">
        <f t="shared" si="12"/>
        <v>2</v>
      </c>
      <c r="K207" s="10" t="str">
        <f t="shared" si="14"/>
        <v>S1R38B2</v>
      </c>
      <c r="L207" s="10" t="s">
        <v>22</v>
      </c>
      <c r="M207" s="10">
        <f>IF(Table1[[#This Row],[ID ROW]]&lt;=12,Table1[[#This Row],[ID ROW]],Table1[[#This Row],[ID ROW]]+INT((Table1[[#This Row],[ID ROW]]-1)/12)*2)</f>
        <v>44</v>
      </c>
      <c r="N207" s="10" t="str">
        <f t="shared" si="15"/>
        <v>RSR44B2</v>
      </c>
      <c r="O207" s="10">
        <f>IF(Table1[[#This Row],[ID ROW]]&lt;=12,1,INT((Table1[[#This Row],[ID ROW]]-1)/12)+1)</f>
        <v>4</v>
      </c>
      <c r="P207" s="10">
        <f>Table1[[#This Row],[ID ROW]]-((Table1[[#This Row],[SECT]]-1)*12)</f>
        <v>2</v>
      </c>
    </row>
    <row r="208" spans="1:16" ht="15.75" customHeight="1" x14ac:dyDescent="0.25">
      <c r="A208" s="6" t="s">
        <v>750</v>
      </c>
      <c r="B208" s="6" t="s">
        <v>751</v>
      </c>
      <c r="C208" s="6" t="s">
        <v>752</v>
      </c>
      <c r="F208" s="7" t="s">
        <v>753</v>
      </c>
      <c r="G208" s="8">
        <v>207</v>
      </c>
      <c r="H208" s="9" t="s">
        <v>21</v>
      </c>
      <c r="I208" s="9">
        <f t="shared" si="13"/>
        <v>38</v>
      </c>
      <c r="J208" s="9">
        <f t="shared" si="12"/>
        <v>3</v>
      </c>
      <c r="K208" s="10" t="str">
        <f t="shared" si="14"/>
        <v>S1R38B3</v>
      </c>
      <c r="L208" s="10" t="s">
        <v>22</v>
      </c>
      <c r="M208" s="10">
        <f>IF(Table1[[#This Row],[ID ROW]]&lt;=12,Table1[[#This Row],[ID ROW]],Table1[[#This Row],[ID ROW]]+INT((Table1[[#This Row],[ID ROW]]-1)/12)*2)</f>
        <v>44</v>
      </c>
      <c r="N208" s="10" t="str">
        <f t="shared" si="15"/>
        <v>RSR44B3</v>
      </c>
      <c r="O208" s="10">
        <f>IF(Table1[[#This Row],[ID ROW]]&lt;=12,1,INT((Table1[[#This Row],[ID ROW]]-1)/12)+1)</f>
        <v>4</v>
      </c>
      <c r="P208" s="10">
        <f>Table1[[#This Row],[ID ROW]]-((Table1[[#This Row],[SECT]]-1)*12)</f>
        <v>2</v>
      </c>
    </row>
    <row r="209" spans="1:16" ht="15.75" customHeight="1" x14ac:dyDescent="0.3">
      <c r="A209" s="6" t="s">
        <v>329</v>
      </c>
      <c r="B209" s="6" t="s">
        <v>754</v>
      </c>
      <c r="C209" s="6" t="s">
        <v>755</v>
      </c>
      <c r="D209" s="6" t="s">
        <v>756</v>
      </c>
      <c r="F209" s="13" t="s">
        <v>757</v>
      </c>
      <c r="G209" s="8">
        <v>208</v>
      </c>
      <c r="H209" s="9" t="s">
        <v>21</v>
      </c>
      <c r="I209" s="9">
        <f t="shared" si="13"/>
        <v>38</v>
      </c>
      <c r="J209" s="9">
        <f t="shared" si="12"/>
        <v>4</v>
      </c>
      <c r="K209" s="10" t="str">
        <f t="shared" si="14"/>
        <v>S1R38B4</v>
      </c>
      <c r="L209" s="10" t="s">
        <v>22</v>
      </c>
      <c r="M209" s="10">
        <f>IF(Table1[[#This Row],[ID ROW]]&lt;=12,Table1[[#This Row],[ID ROW]],Table1[[#This Row],[ID ROW]]+INT((Table1[[#This Row],[ID ROW]]-1)/12)*2)</f>
        <v>44</v>
      </c>
      <c r="N209" s="10" t="str">
        <f t="shared" si="15"/>
        <v>RSR44B4</v>
      </c>
      <c r="O209" s="10">
        <f>IF(Table1[[#This Row],[ID ROW]]&lt;=12,1,INT((Table1[[#This Row],[ID ROW]]-1)/12)+1)</f>
        <v>4</v>
      </c>
      <c r="P209" s="10">
        <f>Table1[[#This Row],[ID ROW]]-((Table1[[#This Row],[SECT]]-1)*12)</f>
        <v>2</v>
      </c>
    </row>
    <row r="210" spans="1:16" ht="15.75" customHeight="1" x14ac:dyDescent="0.25">
      <c r="A210" s="6" t="s">
        <v>758</v>
      </c>
      <c r="B210" s="6" t="s">
        <v>759</v>
      </c>
      <c r="C210" s="6" t="s">
        <v>760</v>
      </c>
      <c r="F210" s="7" t="s">
        <v>761</v>
      </c>
      <c r="G210" s="8">
        <v>209</v>
      </c>
      <c r="H210" s="9" t="s">
        <v>21</v>
      </c>
      <c r="I210" s="9">
        <f t="shared" si="13"/>
        <v>38</v>
      </c>
      <c r="J210" s="9">
        <f t="shared" si="12"/>
        <v>5</v>
      </c>
      <c r="K210" s="10" t="str">
        <f t="shared" si="14"/>
        <v>S1R38B5</v>
      </c>
      <c r="L210" s="10" t="s">
        <v>22</v>
      </c>
      <c r="M210" s="10">
        <f>IF(Table1[[#This Row],[ID ROW]]&lt;=12,Table1[[#This Row],[ID ROW]],Table1[[#This Row],[ID ROW]]+INT((Table1[[#This Row],[ID ROW]]-1)/12)*2)</f>
        <v>44</v>
      </c>
      <c r="N210" s="10" t="str">
        <f t="shared" si="15"/>
        <v>RSR44B5</v>
      </c>
      <c r="O210" s="10">
        <f>IF(Table1[[#This Row],[ID ROW]]&lt;=12,1,INT((Table1[[#This Row],[ID ROW]]-1)/12)+1)</f>
        <v>4</v>
      </c>
      <c r="P210" s="10">
        <f>Table1[[#This Row],[ID ROW]]-((Table1[[#This Row],[SECT]]-1)*12)</f>
        <v>2</v>
      </c>
    </row>
    <row r="211" spans="1:16" ht="15.75" customHeight="1" x14ac:dyDescent="0.3">
      <c r="A211" s="6" t="s">
        <v>762</v>
      </c>
      <c r="B211" s="6" t="s">
        <v>763</v>
      </c>
      <c r="C211" s="6" t="s">
        <v>764</v>
      </c>
      <c r="F211" s="13" t="s">
        <v>765</v>
      </c>
      <c r="G211" s="8">
        <v>210</v>
      </c>
      <c r="H211" s="9" t="s">
        <v>21</v>
      </c>
      <c r="I211" s="9">
        <f t="shared" si="13"/>
        <v>39</v>
      </c>
      <c r="J211" s="9">
        <f t="shared" si="12"/>
        <v>1</v>
      </c>
      <c r="K211" s="10" t="str">
        <f t="shared" si="14"/>
        <v>S1R39B1</v>
      </c>
      <c r="L211" s="10" t="s">
        <v>22</v>
      </c>
      <c r="M211" s="10">
        <f>IF(Table1[[#This Row],[ID ROW]]&lt;=12,Table1[[#This Row],[ID ROW]],Table1[[#This Row],[ID ROW]]+INT((Table1[[#This Row],[ID ROW]]-1)/12)*2)</f>
        <v>45</v>
      </c>
      <c r="N211" s="10" t="str">
        <f t="shared" si="15"/>
        <v>RSR45B1</v>
      </c>
      <c r="O211" s="10">
        <f>IF(Table1[[#This Row],[ID ROW]]&lt;=12,1,INT((Table1[[#This Row],[ID ROW]]-1)/12)+1)</f>
        <v>4</v>
      </c>
      <c r="P211" s="10">
        <f>Table1[[#This Row],[ID ROW]]-((Table1[[#This Row],[SECT]]-1)*12)</f>
        <v>3</v>
      </c>
    </row>
    <row r="212" spans="1:16" ht="15.75" customHeight="1" x14ac:dyDescent="0.25">
      <c r="A212" s="6" t="s">
        <v>766</v>
      </c>
      <c r="B212" s="6" t="s">
        <v>767</v>
      </c>
      <c r="C212" s="6" t="s">
        <v>768</v>
      </c>
      <c r="D212" s="6" t="s">
        <v>769</v>
      </c>
      <c r="F212" s="7" t="s">
        <v>765</v>
      </c>
      <c r="G212" s="8">
        <v>211</v>
      </c>
      <c r="H212" s="9" t="s">
        <v>21</v>
      </c>
      <c r="I212" s="9">
        <f t="shared" si="13"/>
        <v>39</v>
      </c>
      <c r="J212" s="9">
        <f t="shared" si="12"/>
        <v>2</v>
      </c>
      <c r="K212" s="10" t="str">
        <f t="shared" si="14"/>
        <v>S1R39B2</v>
      </c>
      <c r="L212" s="10" t="s">
        <v>22</v>
      </c>
      <c r="M212" s="10">
        <f>IF(Table1[[#This Row],[ID ROW]]&lt;=12,Table1[[#This Row],[ID ROW]],Table1[[#This Row],[ID ROW]]+INT((Table1[[#This Row],[ID ROW]]-1)/12)*2)</f>
        <v>45</v>
      </c>
      <c r="N212" s="10" t="str">
        <f t="shared" si="15"/>
        <v>RSR45B2</v>
      </c>
      <c r="O212" s="10">
        <f>IF(Table1[[#This Row],[ID ROW]]&lt;=12,1,INT((Table1[[#This Row],[ID ROW]]-1)/12)+1)</f>
        <v>4</v>
      </c>
      <c r="P212" s="10">
        <f>Table1[[#This Row],[ID ROW]]-((Table1[[#This Row],[SECT]]-1)*12)</f>
        <v>3</v>
      </c>
    </row>
    <row r="213" spans="1:16" ht="15.75" customHeight="1" x14ac:dyDescent="0.3">
      <c r="A213" s="6" t="s">
        <v>770</v>
      </c>
      <c r="B213" s="6" t="s">
        <v>771</v>
      </c>
      <c r="C213" s="6" t="s">
        <v>772</v>
      </c>
      <c r="D213" s="6" t="s">
        <v>210</v>
      </c>
      <c r="F213" s="13" t="s">
        <v>765</v>
      </c>
      <c r="G213" s="8">
        <v>212</v>
      </c>
      <c r="H213" s="9" t="s">
        <v>21</v>
      </c>
      <c r="I213" s="9">
        <f t="shared" si="13"/>
        <v>39</v>
      </c>
      <c r="J213" s="9">
        <f t="shared" si="12"/>
        <v>3</v>
      </c>
      <c r="K213" s="10" t="str">
        <f t="shared" si="14"/>
        <v>S1R39B3</v>
      </c>
      <c r="L213" s="10" t="s">
        <v>22</v>
      </c>
      <c r="M213" s="10">
        <f>IF(Table1[[#This Row],[ID ROW]]&lt;=12,Table1[[#This Row],[ID ROW]],Table1[[#This Row],[ID ROW]]+INT((Table1[[#This Row],[ID ROW]]-1)/12)*2)</f>
        <v>45</v>
      </c>
      <c r="N213" s="10" t="str">
        <f t="shared" si="15"/>
        <v>RSR45B3</v>
      </c>
      <c r="O213" s="10">
        <f>IF(Table1[[#This Row],[ID ROW]]&lt;=12,1,INT((Table1[[#This Row],[ID ROW]]-1)/12)+1)</f>
        <v>4</v>
      </c>
      <c r="P213" s="10">
        <f>Table1[[#This Row],[ID ROW]]-((Table1[[#This Row],[SECT]]-1)*12)</f>
        <v>3</v>
      </c>
    </row>
    <row r="214" spans="1:16" ht="15.75" customHeight="1" x14ac:dyDescent="0.25">
      <c r="A214" s="6" t="s">
        <v>773</v>
      </c>
      <c r="B214" s="6" t="s">
        <v>774</v>
      </c>
      <c r="C214" s="6" t="s">
        <v>775</v>
      </c>
      <c r="D214" s="6" t="s">
        <v>776</v>
      </c>
      <c r="F214" s="7" t="s">
        <v>777</v>
      </c>
      <c r="G214" s="8">
        <v>213</v>
      </c>
      <c r="H214" s="9" t="s">
        <v>21</v>
      </c>
      <c r="I214" s="9">
        <f t="shared" si="13"/>
        <v>39</v>
      </c>
      <c r="J214" s="9">
        <f t="shared" si="12"/>
        <v>4</v>
      </c>
      <c r="K214" s="10" t="str">
        <f t="shared" si="14"/>
        <v>S1R39B4</v>
      </c>
      <c r="L214" s="10" t="s">
        <v>22</v>
      </c>
      <c r="M214" s="10">
        <f>IF(Table1[[#This Row],[ID ROW]]&lt;=12,Table1[[#This Row],[ID ROW]],Table1[[#This Row],[ID ROW]]+INT((Table1[[#This Row],[ID ROW]]-1)/12)*2)</f>
        <v>45</v>
      </c>
      <c r="N214" s="10" t="str">
        <f t="shared" si="15"/>
        <v>RSR45B4</v>
      </c>
      <c r="O214" s="10">
        <f>IF(Table1[[#This Row],[ID ROW]]&lt;=12,1,INT((Table1[[#This Row],[ID ROW]]-1)/12)+1)</f>
        <v>4</v>
      </c>
      <c r="P214" s="10">
        <f>Table1[[#This Row],[ID ROW]]-((Table1[[#This Row],[SECT]]-1)*12)</f>
        <v>3</v>
      </c>
    </row>
    <row r="215" spans="1:16" ht="15.75" customHeight="1" x14ac:dyDescent="0.3">
      <c r="A215" s="6" t="s">
        <v>165</v>
      </c>
      <c r="B215" s="6" t="s">
        <v>778</v>
      </c>
      <c r="C215" s="6" t="s">
        <v>779</v>
      </c>
      <c r="F215" s="13" t="s">
        <v>780</v>
      </c>
      <c r="G215" s="8">
        <v>214</v>
      </c>
      <c r="H215" s="9" t="s">
        <v>21</v>
      </c>
      <c r="I215" s="9">
        <f t="shared" si="13"/>
        <v>39</v>
      </c>
      <c r="J215" s="9">
        <f t="shared" si="12"/>
        <v>5</v>
      </c>
      <c r="K215" s="10" t="str">
        <f t="shared" si="14"/>
        <v>S1R39B5</v>
      </c>
      <c r="L215" s="10" t="s">
        <v>22</v>
      </c>
      <c r="M215" s="10">
        <f>IF(Table1[[#This Row],[ID ROW]]&lt;=12,Table1[[#This Row],[ID ROW]],Table1[[#This Row],[ID ROW]]+INT((Table1[[#This Row],[ID ROW]]-1)/12)*2)</f>
        <v>45</v>
      </c>
      <c r="N215" s="10" t="str">
        <f t="shared" si="15"/>
        <v>RSR45B5</v>
      </c>
      <c r="O215" s="10">
        <f>IF(Table1[[#This Row],[ID ROW]]&lt;=12,1,INT((Table1[[#This Row],[ID ROW]]-1)/12)+1)</f>
        <v>4</v>
      </c>
      <c r="P215" s="10">
        <f>Table1[[#This Row],[ID ROW]]-((Table1[[#This Row],[SECT]]-1)*12)</f>
        <v>3</v>
      </c>
    </row>
    <row r="216" spans="1:16" ht="15.75" customHeight="1" x14ac:dyDescent="0.25">
      <c r="A216" s="6" t="s">
        <v>781</v>
      </c>
      <c r="B216" s="6" t="s">
        <v>782</v>
      </c>
      <c r="C216" s="6" t="s">
        <v>783</v>
      </c>
      <c r="D216" s="6" t="s">
        <v>784</v>
      </c>
      <c r="F216" s="7" t="s">
        <v>785</v>
      </c>
      <c r="G216" s="8">
        <v>215</v>
      </c>
      <c r="H216" s="9" t="s">
        <v>21</v>
      </c>
      <c r="I216" s="9">
        <f t="shared" si="13"/>
        <v>39</v>
      </c>
      <c r="J216" s="9">
        <f t="shared" si="12"/>
        <v>6</v>
      </c>
      <c r="K216" s="10" t="str">
        <f t="shared" si="14"/>
        <v>S1R39B6</v>
      </c>
      <c r="L216" s="10" t="s">
        <v>22</v>
      </c>
      <c r="M216" s="10">
        <f>IF(Table1[[#This Row],[ID ROW]]&lt;=12,Table1[[#This Row],[ID ROW]],Table1[[#This Row],[ID ROW]]+INT((Table1[[#This Row],[ID ROW]]-1)/12)*2)</f>
        <v>45</v>
      </c>
      <c r="N216" s="10" t="str">
        <f t="shared" si="15"/>
        <v>RSR45B6</v>
      </c>
      <c r="O216" s="10">
        <f>IF(Table1[[#This Row],[ID ROW]]&lt;=12,1,INT((Table1[[#This Row],[ID ROW]]-1)/12)+1)</f>
        <v>4</v>
      </c>
      <c r="P216" s="10">
        <f>Table1[[#This Row],[ID ROW]]-((Table1[[#This Row],[SECT]]-1)*12)</f>
        <v>3</v>
      </c>
    </row>
    <row r="217" spans="1:16" ht="15.75" customHeight="1" x14ac:dyDescent="0.3">
      <c r="A217" s="6" t="s">
        <v>786</v>
      </c>
      <c r="B217" s="6" t="s">
        <v>787</v>
      </c>
      <c r="C217" s="6" t="s">
        <v>788</v>
      </c>
      <c r="D217" s="6" t="s">
        <v>296</v>
      </c>
      <c r="F217" s="13" t="s">
        <v>789</v>
      </c>
      <c r="G217" s="8">
        <v>216</v>
      </c>
      <c r="H217" s="9" t="s">
        <v>21</v>
      </c>
      <c r="I217" s="9">
        <f t="shared" si="13"/>
        <v>40</v>
      </c>
      <c r="J217" s="9">
        <f t="shared" si="12"/>
        <v>1</v>
      </c>
      <c r="K217" s="10" t="str">
        <f t="shared" si="14"/>
        <v>S1R40B1</v>
      </c>
      <c r="L217" s="10" t="s">
        <v>22</v>
      </c>
      <c r="M217" s="10">
        <f>IF(Table1[[#This Row],[ID ROW]]&lt;=12,Table1[[#This Row],[ID ROW]],Table1[[#This Row],[ID ROW]]+INT((Table1[[#This Row],[ID ROW]]-1)/12)*2)</f>
        <v>46</v>
      </c>
      <c r="N217" s="10" t="str">
        <f t="shared" si="15"/>
        <v>RSR46B1</v>
      </c>
      <c r="O217" s="10">
        <f>IF(Table1[[#This Row],[ID ROW]]&lt;=12,1,INT((Table1[[#This Row],[ID ROW]]-1)/12)+1)</f>
        <v>4</v>
      </c>
      <c r="P217" s="10">
        <f>Table1[[#This Row],[ID ROW]]-((Table1[[#This Row],[SECT]]-1)*12)</f>
        <v>4</v>
      </c>
    </row>
    <row r="218" spans="1:16" ht="15.75" customHeight="1" x14ac:dyDescent="0.25">
      <c r="A218" s="6" t="s">
        <v>790</v>
      </c>
      <c r="B218" s="6" t="s">
        <v>791</v>
      </c>
      <c r="C218" s="6" t="s">
        <v>792</v>
      </c>
      <c r="D218" s="6" t="s">
        <v>793</v>
      </c>
      <c r="F218" s="7" t="s">
        <v>794</v>
      </c>
      <c r="G218" s="8">
        <v>217</v>
      </c>
      <c r="H218" s="9" t="s">
        <v>21</v>
      </c>
      <c r="I218" s="9">
        <f t="shared" si="13"/>
        <v>40</v>
      </c>
      <c r="J218" s="9">
        <f t="shared" si="12"/>
        <v>2</v>
      </c>
      <c r="K218" s="10" t="str">
        <f t="shared" si="14"/>
        <v>S1R40B2</v>
      </c>
      <c r="L218" s="10" t="s">
        <v>22</v>
      </c>
      <c r="M218" s="10">
        <f>IF(Table1[[#This Row],[ID ROW]]&lt;=12,Table1[[#This Row],[ID ROW]],Table1[[#This Row],[ID ROW]]+INT((Table1[[#This Row],[ID ROW]]-1)/12)*2)</f>
        <v>46</v>
      </c>
      <c r="N218" s="10" t="str">
        <f t="shared" si="15"/>
        <v>RSR46B2</v>
      </c>
      <c r="O218" s="10">
        <f>IF(Table1[[#This Row],[ID ROW]]&lt;=12,1,INT((Table1[[#This Row],[ID ROW]]-1)/12)+1)</f>
        <v>4</v>
      </c>
      <c r="P218" s="10">
        <f>Table1[[#This Row],[ID ROW]]-((Table1[[#This Row],[SECT]]-1)*12)</f>
        <v>4</v>
      </c>
    </row>
    <row r="219" spans="1:16" ht="15.75" customHeight="1" x14ac:dyDescent="0.3">
      <c r="A219" s="6" t="s">
        <v>795</v>
      </c>
      <c r="B219" s="6" t="s">
        <v>796</v>
      </c>
      <c r="C219" s="6" t="s">
        <v>105</v>
      </c>
      <c r="D219" s="6" t="s">
        <v>797</v>
      </c>
      <c r="F219" s="13" t="s">
        <v>798</v>
      </c>
      <c r="G219" s="8">
        <v>218</v>
      </c>
      <c r="H219" s="9" t="s">
        <v>21</v>
      </c>
      <c r="I219" s="9">
        <f t="shared" si="13"/>
        <v>40</v>
      </c>
      <c r="J219" s="9">
        <f t="shared" si="12"/>
        <v>3</v>
      </c>
      <c r="K219" s="10" t="str">
        <f t="shared" si="14"/>
        <v>S1R40B3</v>
      </c>
      <c r="L219" s="10" t="s">
        <v>22</v>
      </c>
      <c r="M219" s="10">
        <f>IF(Table1[[#This Row],[ID ROW]]&lt;=12,Table1[[#This Row],[ID ROW]],Table1[[#This Row],[ID ROW]]+INT((Table1[[#This Row],[ID ROW]]-1)/12)*2)</f>
        <v>46</v>
      </c>
      <c r="N219" s="10" t="str">
        <f t="shared" si="15"/>
        <v>RSR46B3</v>
      </c>
      <c r="O219" s="10">
        <f>IF(Table1[[#This Row],[ID ROW]]&lt;=12,1,INT((Table1[[#This Row],[ID ROW]]-1)/12)+1)</f>
        <v>4</v>
      </c>
      <c r="P219" s="10">
        <f>Table1[[#This Row],[ID ROW]]-((Table1[[#This Row],[SECT]]-1)*12)</f>
        <v>4</v>
      </c>
    </row>
    <row r="220" spans="1:16" ht="15.75" customHeight="1" x14ac:dyDescent="0.25">
      <c r="A220" s="6" t="s">
        <v>799</v>
      </c>
      <c r="B220" s="6" t="s">
        <v>195</v>
      </c>
      <c r="C220" s="6" t="s">
        <v>800</v>
      </c>
      <c r="D220" s="6" t="s">
        <v>731</v>
      </c>
      <c r="F220" s="7" t="s">
        <v>801</v>
      </c>
      <c r="G220" s="8">
        <v>219</v>
      </c>
      <c r="H220" s="9" t="s">
        <v>21</v>
      </c>
      <c r="I220" s="9">
        <f t="shared" si="13"/>
        <v>40</v>
      </c>
      <c r="J220" s="9">
        <f t="shared" si="12"/>
        <v>4</v>
      </c>
      <c r="K220" s="10" t="str">
        <f t="shared" si="14"/>
        <v>S1R40B4</v>
      </c>
      <c r="L220" s="10" t="s">
        <v>22</v>
      </c>
      <c r="M220" s="10">
        <f>IF(Table1[[#This Row],[ID ROW]]&lt;=12,Table1[[#This Row],[ID ROW]],Table1[[#This Row],[ID ROW]]+INT((Table1[[#This Row],[ID ROW]]-1)/12)*2)</f>
        <v>46</v>
      </c>
      <c r="N220" s="10" t="str">
        <f t="shared" si="15"/>
        <v>RSR46B4</v>
      </c>
      <c r="O220" s="10">
        <f>IF(Table1[[#This Row],[ID ROW]]&lt;=12,1,INT((Table1[[#This Row],[ID ROW]]-1)/12)+1)</f>
        <v>4</v>
      </c>
      <c r="P220" s="10">
        <f>Table1[[#This Row],[ID ROW]]-((Table1[[#This Row],[SECT]]-1)*12)</f>
        <v>4</v>
      </c>
    </row>
    <row r="221" spans="1:16" ht="15.75" customHeight="1" x14ac:dyDescent="0.3">
      <c r="A221" s="6" t="s">
        <v>802</v>
      </c>
      <c r="B221" s="6" t="s">
        <v>803</v>
      </c>
      <c r="C221" s="6" t="s">
        <v>804</v>
      </c>
      <c r="D221" s="6" t="s">
        <v>805</v>
      </c>
      <c r="F221" s="13" t="s">
        <v>806</v>
      </c>
      <c r="G221" s="8">
        <v>220</v>
      </c>
      <c r="H221" s="9" t="s">
        <v>21</v>
      </c>
      <c r="I221" s="9">
        <f t="shared" si="13"/>
        <v>40</v>
      </c>
      <c r="J221" s="9">
        <f t="shared" si="12"/>
        <v>5</v>
      </c>
      <c r="K221" s="10" t="str">
        <f t="shared" si="14"/>
        <v>S1R40B5</v>
      </c>
      <c r="L221" s="10" t="s">
        <v>22</v>
      </c>
      <c r="M221" s="10">
        <f>IF(Table1[[#This Row],[ID ROW]]&lt;=12,Table1[[#This Row],[ID ROW]],Table1[[#This Row],[ID ROW]]+INT((Table1[[#This Row],[ID ROW]]-1)/12)*2)</f>
        <v>46</v>
      </c>
      <c r="N221" s="10" t="str">
        <f t="shared" si="15"/>
        <v>RSR46B5</v>
      </c>
      <c r="O221" s="10">
        <f>IF(Table1[[#This Row],[ID ROW]]&lt;=12,1,INT((Table1[[#This Row],[ID ROW]]-1)/12)+1)</f>
        <v>4</v>
      </c>
      <c r="P221" s="10">
        <f>Table1[[#This Row],[ID ROW]]-((Table1[[#This Row],[SECT]]-1)*12)</f>
        <v>4</v>
      </c>
    </row>
    <row r="222" spans="1:16" ht="15.75" customHeight="1" x14ac:dyDescent="0.25">
      <c r="A222" s="6" t="s">
        <v>807</v>
      </c>
      <c r="B222" s="6" t="s">
        <v>808</v>
      </c>
      <c r="C222" s="6" t="s">
        <v>809</v>
      </c>
      <c r="D222" s="6" t="s">
        <v>810</v>
      </c>
      <c r="F222" s="7" t="s">
        <v>811</v>
      </c>
      <c r="G222" s="8">
        <v>221</v>
      </c>
      <c r="H222" s="9" t="s">
        <v>21</v>
      </c>
      <c r="I222" s="9">
        <f t="shared" si="13"/>
        <v>41</v>
      </c>
      <c r="J222" s="9">
        <f t="shared" si="12"/>
        <v>1</v>
      </c>
      <c r="K222" s="10" t="str">
        <f t="shared" si="14"/>
        <v>S1R41B1</v>
      </c>
      <c r="L222" s="10" t="s">
        <v>22</v>
      </c>
      <c r="M222" s="10">
        <f>IF(Table1[[#This Row],[ID ROW]]&lt;=12,Table1[[#This Row],[ID ROW]],Table1[[#This Row],[ID ROW]]+INT((Table1[[#This Row],[ID ROW]]-1)/12)*2)</f>
        <v>47</v>
      </c>
      <c r="N222" s="10" t="str">
        <f t="shared" si="15"/>
        <v>RSR47B1</v>
      </c>
      <c r="O222" s="10">
        <f>IF(Table1[[#This Row],[ID ROW]]&lt;=12,1,INT((Table1[[#This Row],[ID ROW]]-1)/12)+1)</f>
        <v>4</v>
      </c>
      <c r="P222" s="10">
        <f>Table1[[#This Row],[ID ROW]]-((Table1[[#This Row],[SECT]]-1)*12)</f>
        <v>5</v>
      </c>
    </row>
    <row r="223" spans="1:16" ht="15.75" customHeight="1" x14ac:dyDescent="0.3">
      <c r="A223" s="6" t="s">
        <v>812</v>
      </c>
      <c r="B223" s="6" t="s">
        <v>813</v>
      </c>
      <c r="C223" s="6" t="s">
        <v>814</v>
      </c>
      <c r="D223" s="6" t="s">
        <v>815</v>
      </c>
      <c r="F223" s="13" t="s">
        <v>816</v>
      </c>
      <c r="G223" s="8">
        <v>222</v>
      </c>
      <c r="H223" s="9" t="s">
        <v>21</v>
      </c>
      <c r="I223" s="9">
        <f t="shared" si="13"/>
        <v>41</v>
      </c>
      <c r="J223" s="9">
        <f t="shared" si="12"/>
        <v>2</v>
      </c>
      <c r="K223" s="10" t="str">
        <f t="shared" si="14"/>
        <v>S1R41B2</v>
      </c>
      <c r="L223" s="10" t="s">
        <v>22</v>
      </c>
      <c r="M223" s="10">
        <f>IF(Table1[[#This Row],[ID ROW]]&lt;=12,Table1[[#This Row],[ID ROW]],Table1[[#This Row],[ID ROW]]+INT((Table1[[#This Row],[ID ROW]]-1)/12)*2)</f>
        <v>47</v>
      </c>
      <c r="N223" s="10" t="str">
        <f t="shared" si="15"/>
        <v>RSR47B2</v>
      </c>
      <c r="O223" s="10">
        <f>IF(Table1[[#This Row],[ID ROW]]&lt;=12,1,INT((Table1[[#This Row],[ID ROW]]-1)/12)+1)</f>
        <v>4</v>
      </c>
      <c r="P223" s="10">
        <f>Table1[[#This Row],[ID ROW]]-((Table1[[#This Row],[SECT]]-1)*12)</f>
        <v>5</v>
      </c>
    </row>
    <row r="224" spans="1:16" ht="15.75" customHeight="1" x14ac:dyDescent="0.25">
      <c r="A224" s="6" t="s">
        <v>817</v>
      </c>
      <c r="B224" s="6" t="s">
        <v>818</v>
      </c>
      <c r="C224" s="6" t="s">
        <v>819</v>
      </c>
      <c r="F224" s="7" t="s">
        <v>820</v>
      </c>
      <c r="G224" s="8">
        <v>223</v>
      </c>
      <c r="H224" s="9" t="s">
        <v>21</v>
      </c>
      <c r="I224" s="9">
        <f t="shared" si="13"/>
        <v>41</v>
      </c>
      <c r="J224" s="9">
        <f t="shared" si="12"/>
        <v>3</v>
      </c>
      <c r="K224" s="10" t="str">
        <f t="shared" si="14"/>
        <v>S1R41B3</v>
      </c>
      <c r="L224" s="10" t="s">
        <v>22</v>
      </c>
      <c r="M224" s="10">
        <f>IF(Table1[[#This Row],[ID ROW]]&lt;=12,Table1[[#This Row],[ID ROW]],Table1[[#This Row],[ID ROW]]+INT((Table1[[#This Row],[ID ROW]]-1)/12)*2)</f>
        <v>47</v>
      </c>
      <c r="N224" s="10" t="str">
        <f t="shared" si="15"/>
        <v>RSR47B3</v>
      </c>
      <c r="O224" s="10">
        <f>IF(Table1[[#This Row],[ID ROW]]&lt;=12,1,INT((Table1[[#This Row],[ID ROW]]-1)/12)+1)</f>
        <v>4</v>
      </c>
      <c r="P224" s="10">
        <f>Table1[[#This Row],[ID ROW]]-((Table1[[#This Row],[SECT]]-1)*12)</f>
        <v>5</v>
      </c>
    </row>
    <row r="225" spans="1:16" ht="15.75" customHeight="1" x14ac:dyDescent="0.3">
      <c r="A225" s="6" t="s">
        <v>821</v>
      </c>
      <c r="B225" s="6" t="s">
        <v>822</v>
      </c>
      <c r="C225" s="6" t="s">
        <v>823</v>
      </c>
      <c r="F225" s="13" t="s">
        <v>824</v>
      </c>
      <c r="G225" s="8">
        <v>224</v>
      </c>
      <c r="H225" s="9" t="s">
        <v>21</v>
      </c>
      <c r="I225" s="9">
        <f t="shared" si="13"/>
        <v>41</v>
      </c>
      <c r="J225" s="9">
        <f t="shared" si="12"/>
        <v>4</v>
      </c>
      <c r="K225" s="10" t="str">
        <f t="shared" si="14"/>
        <v>S1R41B4</v>
      </c>
      <c r="L225" s="10" t="s">
        <v>22</v>
      </c>
      <c r="M225" s="10">
        <f>IF(Table1[[#This Row],[ID ROW]]&lt;=12,Table1[[#This Row],[ID ROW]],Table1[[#This Row],[ID ROW]]+INT((Table1[[#This Row],[ID ROW]]-1)/12)*2)</f>
        <v>47</v>
      </c>
      <c r="N225" s="10" t="str">
        <f t="shared" si="15"/>
        <v>RSR47B4</v>
      </c>
      <c r="O225" s="10">
        <f>IF(Table1[[#This Row],[ID ROW]]&lt;=12,1,INT((Table1[[#This Row],[ID ROW]]-1)/12)+1)</f>
        <v>4</v>
      </c>
      <c r="P225" s="10">
        <f>Table1[[#This Row],[ID ROW]]-((Table1[[#This Row],[SECT]]-1)*12)</f>
        <v>5</v>
      </c>
    </row>
    <row r="226" spans="1:16" ht="15.75" customHeight="1" x14ac:dyDescent="0.25">
      <c r="A226" s="6" t="s">
        <v>825</v>
      </c>
      <c r="B226" s="6" t="s">
        <v>826</v>
      </c>
      <c r="C226" s="6" t="s">
        <v>827</v>
      </c>
      <c r="D226" s="6" t="s">
        <v>828</v>
      </c>
      <c r="F226" s="7" t="s">
        <v>829</v>
      </c>
      <c r="G226" s="8">
        <v>225</v>
      </c>
      <c r="H226" s="9" t="s">
        <v>21</v>
      </c>
      <c r="I226" s="9">
        <f t="shared" si="13"/>
        <v>41</v>
      </c>
      <c r="J226" s="9">
        <f t="shared" si="12"/>
        <v>5</v>
      </c>
      <c r="K226" s="10" t="str">
        <f t="shared" si="14"/>
        <v>S1R41B5</v>
      </c>
      <c r="L226" s="10" t="s">
        <v>22</v>
      </c>
      <c r="M226" s="10">
        <f>IF(Table1[[#This Row],[ID ROW]]&lt;=12,Table1[[#This Row],[ID ROW]],Table1[[#This Row],[ID ROW]]+INT((Table1[[#This Row],[ID ROW]]-1)/12)*2)</f>
        <v>47</v>
      </c>
      <c r="N226" s="10" t="str">
        <f t="shared" si="15"/>
        <v>RSR47B5</v>
      </c>
      <c r="O226" s="10">
        <f>IF(Table1[[#This Row],[ID ROW]]&lt;=12,1,INT((Table1[[#This Row],[ID ROW]]-1)/12)+1)</f>
        <v>4</v>
      </c>
      <c r="P226" s="10">
        <f>Table1[[#This Row],[ID ROW]]-((Table1[[#This Row],[SECT]]-1)*12)</f>
        <v>5</v>
      </c>
    </row>
    <row r="227" spans="1:16" ht="15.75" customHeight="1" x14ac:dyDescent="0.3">
      <c r="A227" s="6" t="s">
        <v>830</v>
      </c>
      <c r="C227" s="6" t="s">
        <v>831</v>
      </c>
      <c r="D227" s="6" t="s">
        <v>832</v>
      </c>
      <c r="F227" s="13" t="s">
        <v>833</v>
      </c>
      <c r="G227" s="8">
        <v>226</v>
      </c>
      <c r="H227" s="9" t="s">
        <v>21</v>
      </c>
      <c r="I227" s="9">
        <f t="shared" si="13"/>
        <v>41</v>
      </c>
      <c r="J227" s="9">
        <f t="shared" si="12"/>
        <v>6</v>
      </c>
      <c r="K227" s="10" t="str">
        <f t="shared" si="14"/>
        <v>S1R41B6</v>
      </c>
      <c r="L227" s="10" t="s">
        <v>22</v>
      </c>
      <c r="M227" s="10">
        <f>IF(Table1[[#This Row],[ID ROW]]&lt;=12,Table1[[#This Row],[ID ROW]],Table1[[#This Row],[ID ROW]]+INT((Table1[[#This Row],[ID ROW]]-1)/12)*2)</f>
        <v>47</v>
      </c>
      <c r="N227" s="10" t="str">
        <f t="shared" si="15"/>
        <v>RSR47B6</v>
      </c>
      <c r="O227" s="10">
        <f>IF(Table1[[#This Row],[ID ROW]]&lt;=12,1,INT((Table1[[#This Row],[ID ROW]]-1)/12)+1)</f>
        <v>4</v>
      </c>
      <c r="P227" s="10">
        <f>Table1[[#This Row],[ID ROW]]-((Table1[[#This Row],[SECT]]-1)*12)</f>
        <v>5</v>
      </c>
    </row>
    <row r="228" spans="1:16" ht="15.75" customHeight="1" x14ac:dyDescent="0.25">
      <c r="A228" s="6" t="s">
        <v>834</v>
      </c>
      <c r="B228" s="6" t="s">
        <v>835</v>
      </c>
      <c r="C228" s="6" t="s">
        <v>836</v>
      </c>
      <c r="F228" s="7" t="s">
        <v>837</v>
      </c>
      <c r="G228" s="8">
        <v>227</v>
      </c>
      <c r="H228" s="9" t="s">
        <v>21</v>
      </c>
      <c r="I228" s="9">
        <f t="shared" si="13"/>
        <v>42</v>
      </c>
      <c r="J228" s="9">
        <f t="shared" si="12"/>
        <v>1</v>
      </c>
      <c r="K228" s="10" t="str">
        <f t="shared" si="14"/>
        <v>S1R42B1</v>
      </c>
      <c r="L228" s="10" t="s">
        <v>22</v>
      </c>
      <c r="M228" s="10">
        <f>IF(Table1[[#This Row],[ID ROW]]&lt;=12,Table1[[#This Row],[ID ROW]],Table1[[#This Row],[ID ROW]]+INT((Table1[[#This Row],[ID ROW]]-1)/12)*2)</f>
        <v>48</v>
      </c>
      <c r="N228" s="10" t="str">
        <f t="shared" si="15"/>
        <v>RSR48B1</v>
      </c>
      <c r="O228" s="10">
        <f>IF(Table1[[#This Row],[ID ROW]]&lt;=12,1,INT((Table1[[#This Row],[ID ROW]]-1)/12)+1)</f>
        <v>4</v>
      </c>
      <c r="P228" s="10">
        <f>Table1[[#This Row],[ID ROW]]-((Table1[[#This Row],[SECT]]-1)*12)</f>
        <v>6</v>
      </c>
    </row>
    <row r="229" spans="1:16" ht="15.75" customHeight="1" x14ac:dyDescent="0.3">
      <c r="A229" s="6" t="s">
        <v>838</v>
      </c>
      <c r="B229" s="6" t="s">
        <v>839</v>
      </c>
      <c r="F229" s="13" t="s">
        <v>840</v>
      </c>
      <c r="G229" s="8">
        <v>228</v>
      </c>
      <c r="H229" s="9" t="s">
        <v>21</v>
      </c>
      <c r="I229" s="9">
        <f t="shared" si="13"/>
        <v>42</v>
      </c>
      <c r="J229" s="9">
        <f t="shared" si="12"/>
        <v>2</v>
      </c>
      <c r="K229" s="10" t="str">
        <f t="shared" si="14"/>
        <v>S1R42B2</v>
      </c>
      <c r="L229" s="10" t="s">
        <v>22</v>
      </c>
      <c r="M229" s="10">
        <f>IF(Table1[[#This Row],[ID ROW]]&lt;=12,Table1[[#This Row],[ID ROW]],Table1[[#This Row],[ID ROW]]+INT((Table1[[#This Row],[ID ROW]]-1)/12)*2)</f>
        <v>48</v>
      </c>
      <c r="N229" s="10" t="str">
        <f t="shared" si="15"/>
        <v>RSR48B2</v>
      </c>
      <c r="O229" s="10">
        <f>IF(Table1[[#This Row],[ID ROW]]&lt;=12,1,INT((Table1[[#This Row],[ID ROW]]-1)/12)+1)</f>
        <v>4</v>
      </c>
      <c r="P229" s="10">
        <f>Table1[[#This Row],[ID ROW]]-((Table1[[#This Row],[SECT]]-1)*12)</f>
        <v>6</v>
      </c>
    </row>
    <row r="230" spans="1:16" ht="15.75" customHeight="1" x14ac:dyDescent="0.25">
      <c r="A230" s="6" t="s">
        <v>841</v>
      </c>
      <c r="B230" s="6" t="s">
        <v>842</v>
      </c>
      <c r="C230" s="6" t="s">
        <v>843</v>
      </c>
      <c r="F230" s="7" t="s">
        <v>844</v>
      </c>
      <c r="G230" s="8">
        <v>229</v>
      </c>
      <c r="H230" s="9" t="s">
        <v>21</v>
      </c>
      <c r="I230" s="9">
        <f t="shared" si="13"/>
        <v>42</v>
      </c>
      <c r="J230" s="9">
        <f t="shared" si="12"/>
        <v>3</v>
      </c>
      <c r="K230" s="10" t="str">
        <f t="shared" si="14"/>
        <v>S1R42B3</v>
      </c>
      <c r="L230" s="10" t="s">
        <v>22</v>
      </c>
      <c r="M230" s="10">
        <f>IF(Table1[[#This Row],[ID ROW]]&lt;=12,Table1[[#This Row],[ID ROW]],Table1[[#This Row],[ID ROW]]+INT((Table1[[#This Row],[ID ROW]]-1)/12)*2)</f>
        <v>48</v>
      </c>
      <c r="N230" s="10" t="str">
        <f t="shared" si="15"/>
        <v>RSR48B3</v>
      </c>
      <c r="O230" s="10">
        <f>IF(Table1[[#This Row],[ID ROW]]&lt;=12,1,INT((Table1[[#This Row],[ID ROW]]-1)/12)+1)</f>
        <v>4</v>
      </c>
      <c r="P230" s="10">
        <f>Table1[[#This Row],[ID ROW]]-((Table1[[#This Row],[SECT]]-1)*12)</f>
        <v>6</v>
      </c>
    </row>
    <row r="231" spans="1:16" ht="15.75" customHeight="1" x14ac:dyDescent="0.3">
      <c r="A231" s="6" t="s">
        <v>845</v>
      </c>
      <c r="B231" s="6" t="s">
        <v>846</v>
      </c>
      <c r="C231" s="6" t="s">
        <v>847</v>
      </c>
      <c r="F231" s="13" t="s">
        <v>848</v>
      </c>
      <c r="G231" s="8">
        <v>230</v>
      </c>
      <c r="H231" s="9" t="s">
        <v>21</v>
      </c>
      <c r="I231" s="9">
        <f t="shared" si="13"/>
        <v>42</v>
      </c>
      <c r="J231" s="9">
        <f t="shared" si="12"/>
        <v>4</v>
      </c>
      <c r="K231" s="10" t="str">
        <f t="shared" si="14"/>
        <v>S1R42B4</v>
      </c>
      <c r="L231" s="10" t="s">
        <v>22</v>
      </c>
      <c r="M231" s="10">
        <f>IF(Table1[[#This Row],[ID ROW]]&lt;=12,Table1[[#This Row],[ID ROW]],Table1[[#This Row],[ID ROW]]+INT((Table1[[#This Row],[ID ROW]]-1)/12)*2)</f>
        <v>48</v>
      </c>
      <c r="N231" s="10" t="str">
        <f t="shared" si="15"/>
        <v>RSR48B4</v>
      </c>
      <c r="O231" s="10">
        <f>IF(Table1[[#This Row],[ID ROW]]&lt;=12,1,INT((Table1[[#This Row],[ID ROW]]-1)/12)+1)</f>
        <v>4</v>
      </c>
      <c r="P231" s="10">
        <f>Table1[[#This Row],[ID ROW]]-((Table1[[#This Row],[SECT]]-1)*12)</f>
        <v>6</v>
      </c>
    </row>
    <row r="232" spans="1:16" ht="15.75" customHeight="1" x14ac:dyDescent="0.25">
      <c r="A232" s="6" t="s">
        <v>19</v>
      </c>
      <c r="B232" s="6" t="s">
        <v>849</v>
      </c>
      <c r="C232" s="6" t="s">
        <v>850</v>
      </c>
      <c r="D232" s="6" t="s">
        <v>851</v>
      </c>
      <c r="F232" s="7" t="s">
        <v>852</v>
      </c>
      <c r="G232" s="8">
        <v>231</v>
      </c>
      <c r="H232" s="9" t="s">
        <v>21</v>
      </c>
      <c r="I232" s="9">
        <f t="shared" si="13"/>
        <v>42</v>
      </c>
      <c r="J232" s="9">
        <f t="shared" si="12"/>
        <v>5</v>
      </c>
      <c r="K232" s="10" t="str">
        <f t="shared" si="14"/>
        <v>S1R42B5</v>
      </c>
      <c r="L232" s="10" t="s">
        <v>22</v>
      </c>
      <c r="M232" s="10">
        <f>IF(Table1[[#This Row],[ID ROW]]&lt;=12,Table1[[#This Row],[ID ROW]],Table1[[#This Row],[ID ROW]]+INT((Table1[[#This Row],[ID ROW]]-1)/12)*2)</f>
        <v>48</v>
      </c>
      <c r="N232" s="10" t="str">
        <f t="shared" si="15"/>
        <v>RSR48B5</v>
      </c>
      <c r="O232" s="10">
        <f>IF(Table1[[#This Row],[ID ROW]]&lt;=12,1,INT((Table1[[#This Row],[ID ROW]]-1)/12)+1)</f>
        <v>4</v>
      </c>
      <c r="P232" s="10">
        <f>Table1[[#This Row],[ID ROW]]-((Table1[[#This Row],[SECT]]-1)*12)</f>
        <v>6</v>
      </c>
    </row>
    <row r="233" spans="1:16" ht="15.75" customHeight="1" x14ac:dyDescent="0.3">
      <c r="A233" s="6" t="s">
        <v>853</v>
      </c>
      <c r="B233" s="6" t="s">
        <v>214</v>
      </c>
      <c r="D233" s="6" t="s">
        <v>854</v>
      </c>
      <c r="F233" s="13" t="s">
        <v>855</v>
      </c>
      <c r="G233" s="8">
        <v>232</v>
      </c>
      <c r="H233" s="9" t="s">
        <v>21</v>
      </c>
      <c r="I233" s="9">
        <f t="shared" si="13"/>
        <v>43</v>
      </c>
      <c r="J233" s="9">
        <f t="shared" si="12"/>
        <v>1</v>
      </c>
      <c r="K233" s="10" t="str">
        <f t="shared" si="14"/>
        <v>S1R43B1</v>
      </c>
      <c r="L233" s="10" t="s">
        <v>22</v>
      </c>
      <c r="M233" s="10">
        <f>IF(Table1[[#This Row],[ID ROW]]&lt;=12,Table1[[#This Row],[ID ROW]],Table1[[#This Row],[ID ROW]]+INT((Table1[[#This Row],[ID ROW]]-1)/12)*2)</f>
        <v>49</v>
      </c>
      <c r="N233" s="10" t="str">
        <f t="shared" si="15"/>
        <v>RSR49B1</v>
      </c>
      <c r="O233" s="10">
        <f>IF(Table1[[#This Row],[ID ROW]]&lt;=12,1,INT((Table1[[#This Row],[ID ROW]]-1)/12)+1)</f>
        <v>4</v>
      </c>
      <c r="P233" s="10">
        <f>Table1[[#This Row],[ID ROW]]-((Table1[[#This Row],[SECT]]-1)*12)</f>
        <v>7</v>
      </c>
    </row>
    <row r="234" spans="1:16" ht="15.75" customHeight="1" x14ac:dyDescent="0.25">
      <c r="A234" s="6" t="s">
        <v>856</v>
      </c>
      <c r="B234" s="6" t="s">
        <v>857</v>
      </c>
      <c r="C234" s="6" t="s">
        <v>858</v>
      </c>
      <c r="F234" s="7" t="s">
        <v>859</v>
      </c>
      <c r="G234" s="8">
        <v>233</v>
      </c>
      <c r="H234" s="9" t="s">
        <v>21</v>
      </c>
      <c r="I234" s="9">
        <f t="shared" si="13"/>
        <v>43</v>
      </c>
      <c r="J234" s="9">
        <f t="shared" si="12"/>
        <v>2</v>
      </c>
      <c r="K234" s="10" t="str">
        <f t="shared" si="14"/>
        <v>S1R43B2</v>
      </c>
      <c r="L234" s="10" t="s">
        <v>22</v>
      </c>
      <c r="M234" s="10">
        <f>IF(Table1[[#This Row],[ID ROW]]&lt;=12,Table1[[#This Row],[ID ROW]],Table1[[#This Row],[ID ROW]]+INT((Table1[[#This Row],[ID ROW]]-1)/12)*2)</f>
        <v>49</v>
      </c>
      <c r="N234" s="10" t="str">
        <f t="shared" si="15"/>
        <v>RSR49B2</v>
      </c>
      <c r="O234" s="10">
        <f>IF(Table1[[#This Row],[ID ROW]]&lt;=12,1,INT((Table1[[#This Row],[ID ROW]]-1)/12)+1)</f>
        <v>4</v>
      </c>
      <c r="P234" s="10">
        <f>Table1[[#This Row],[ID ROW]]-((Table1[[#This Row],[SECT]]-1)*12)</f>
        <v>7</v>
      </c>
    </row>
    <row r="235" spans="1:16" ht="15.75" customHeight="1" x14ac:dyDescent="0.3">
      <c r="A235" s="6" t="s">
        <v>860</v>
      </c>
      <c r="B235" s="6" t="s">
        <v>861</v>
      </c>
      <c r="C235" s="6" t="s">
        <v>862</v>
      </c>
      <c r="F235" s="13" t="s">
        <v>863</v>
      </c>
      <c r="G235" s="8">
        <v>234</v>
      </c>
      <c r="H235" s="9" t="s">
        <v>21</v>
      </c>
      <c r="I235" s="9">
        <f t="shared" si="13"/>
        <v>43</v>
      </c>
      <c r="J235" s="9">
        <f t="shared" si="12"/>
        <v>3</v>
      </c>
      <c r="K235" s="10" t="str">
        <f t="shared" si="14"/>
        <v>S1R43B3</v>
      </c>
      <c r="L235" s="10" t="s">
        <v>22</v>
      </c>
      <c r="M235" s="10">
        <f>IF(Table1[[#This Row],[ID ROW]]&lt;=12,Table1[[#This Row],[ID ROW]],Table1[[#This Row],[ID ROW]]+INT((Table1[[#This Row],[ID ROW]]-1)/12)*2)</f>
        <v>49</v>
      </c>
      <c r="N235" s="10" t="str">
        <f t="shared" si="15"/>
        <v>RSR49B3</v>
      </c>
      <c r="O235" s="10">
        <f>IF(Table1[[#This Row],[ID ROW]]&lt;=12,1,INT((Table1[[#This Row],[ID ROW]]-1)/12)+1)</f>
        <v>4</v>
      </c>
      <c r="P235" s="10">
        <f>Table1[[#This Row],[ID ROW]]-((Table1[[#This Row],[SECT]]-1)*12)</f>
        <v>7</v>
      </c>
    </row>
    <row r="236" spans="1:16" ht="15.75" customHeight="1" x14ac:dyDescent="0.25">
      <c r="A236" s="6" t="s">
        <v>864</v>
      </c>
      <c r="B236" s="6" t="s">
        <v>585</v>
      </c>
      <c r="C236" s="6" t="s">
        <v>865</v>
      </c>
      <c r="F236" s="7" t="s">
        <v>866</v>
      </c>
      <c r="G236" s="8">
        <v>235</v>
      </c>
      <c r="H236" s="9" t="s">
        <v>21</v>
      </c>
      <c r="I236" s="9">
        <f t="shared" si="13"/>
        <v>43</v>
      </c>
      <c r="J236" s="9">
        <f t="shared" si="12"/>
        <v>4</v>
      </c>
      <c r="K236" s="10" t="str">
        <f t="shared" si="14"/>
        <v>S1R43B4</v>
      </c>
      <c r="L236" s="10" t="s">
        <v>22</v>
      </c>
      <c r="M236" s="10">
        <f>IF(Table1[[#This Row],[ID ROW]]&lt;=12,Table1[[#This Row],[ID ROW]],Table1[[#This Row],[ID ROW]]+INT((Table1[[#This Row],[ID ROW]]-1)/12)*2)</f>
        <v>49</v>
      </c>
      <c r="N236" s="10" t="str">
        <f t="shared" si="15"/>
        <v>RSR49B4</v>
      </c>
      <c r="O236" s="10">
        <f>IF(Table1[[#This Row],[ID ROW]]&lt;=12,1,INT((Table1[[#This Row],[ID ROW]]-1)/12)+1)</f>
        <v>4</v>
      </c>
      <c r="P236" s="10">
        <f>Table1[[#This Row],[ID ROW]]-((Table1[[#This Row],[SECT]]-1)*12)</f>
        <v>7</v>
      </c>
    </row>
    <row r="237" spans="1:16" ht="15.75" customHeight="1" x14ac:dyDescent="0.3">
      <c r="A237" s="6" t="s">
        <v>867</v>
      </c>
      <c r="B237" s="6" t="s">
        <v>868</v>
      </c>
      <c r="C237" s="6" t="s">
        <v>869</v>
      </c>
      <c r="D237" s="6" t="s">
        <v>870</v>
      </c>
      <c r="F237" s="13" t="s">
        <v>871</v>
      </c>
      <c r="G237" s="8">
        <v>236</v>
      </c>
      <c r="H237" s="9" t="s">
        <v>21</v>
      </c>
      <c r="I237" s="9">
        <f t="shared" si="13"/>
        <v>43</v>
      </c>
      <c r="J237" s="9">
        <f t="shared" si="12"/>
        <v>5</v>
      </c>
      <c r="K237" s="10" t="str">
        <f t="shared" si="14"/>
        <v>S1R43B5</v>
      </c>
      <c r="L237" s="10" t="s">
        <v>22</v>
      </c>
      <c r="M237" s="10">
        <f>IF(Table1[[#This Row],[ID ROW]]&lt;=12,Table1[[#This Row],[ID ROW]],Table1[[#This Row],[ID ROW]]+INT((Table1[[#This Row],[ID ROW]]-1)/12)*2)</f>
        <v>49</v>
      </c>
      <c r="N237" s="10" t="str">
        <f t="shared" si="15"/>
        <v>RSR49B5</v>
      </c>
      <c r="O237" s="10">
        <f>IF(Table1[[#This Row],[ID ROW]]&lt;=12,1,INT((Table1[[#This Row],[ID ROW]]-1)/12)+1)</f>
        <v>4</v>
      </c>
      <c r="P237" s="10">
        <f>Table1[[#This Row],[ID ROW]]-((Table1[[#This Row],[SECT]]-1)*12)</f>
        <v>7</v>
      </c>
    </row>
    <row r="238" spans="1:16" ht="15.75" customHeight="1" x14ac:dyDescent="0.25">
      <c r="A238" s="6" t="s">
        <v>165</v>
      </c>
      <c r="B238" s="6" t="s">
        <v>872</v>
      </c>
      <c r="C238" s="6" t="s">
        <v>873</v>
      </c>
      <c r="D238" s="6" t="s">
        <v>832</v>
      </c>
      <c r="F238" s="7" t="s">
        <v>874</v>
      </c>
      <c r="G238" s="8">
        <v>237</v>
      </c>
      <c r="H238" s="9" t="s">
        <v>21</v>
      </c>
      <c r="I238" s="9">
        <f t="shared" si="13"/>
        <v>43</v>
      </c>
      <c r="J238" s="9">
        <f t="shared" si="12"/>
        <v>6</v>
      </c>
      <c r="K238" s="10" t="str">
        <f t="shared" si="14"/>
        <v>S1R43B6</v>
      </c>
      <c r="L238" s="10" t="s">
        <v>22</v>
      </c>
      <c r="M238" s="10">
        <f>IF(Table1[[#This Row],[ID ROW]]&lt;=12,Table1[[#This Row],[ID ROW]],Table1[[#This Row],[ID ROW]]+INT((Table1[[#This Row],[ID ROW]]-1)/12)*2)</f>
        <v>49</v>
      </c>
      <c r="N238" s="10" t="str">
        <f t="shared" si="15"/>
        <v>RSR49B6</v>
      </c>
      <c r="O238" s="10">
        <f>IF(Table1[[#This Row],[ID ROW]]&lt;=12,1,INT((Table1[[#This Row],[ID ROW]]-1)/12)+1)</f>
        <v>4</v>
      </c>
      <c r="P238" s="10">
        <f>Table1[[#This Row],[ID ROW]]-((Table1[[#This Row],[SECT]]-1)*12)</f>
        <v>7</v>
      </c>
    </row>
    <row r="239" spans="1:16" ht="15.75" customHeight="1" x14ac:dyDescent="0.3">
      <c r="A239" s="6" t="s">
        <v>234</v>
      </c>
      <c r="B239" s="6" t="s">
        <v>105</v>
      </c>
      <c r="C239" s="6" t="s">
        <v>875</v>
      </c>
      <c r="D239" s="6" t="s">
        <v>876</v>
      </c>
      <c r="F239" s="13" t="s">
        <v>877</v>
      </c>
      <c r="G239" s="8">
        <v>238</v>
      </c>
      <c r="H239" s="9" t="s">
        <v>21</v>
      </c>
      <c r="I239" s="9">
        <f t="shared" si="13"/>
        <v>44</v>
      </c>
      <c r="J239" s="9">
        <f t="shared" si="12"/>
        <v>1</v>
      </c>
      <c r="K239" s="10" t="str">
        <f t="shared" si="14"/>
        <v>S1R44B1</v>
      </c>
      <c r="L239" s="10" t="s">
        <v>22</v>
      </c>
      <c r="M239" s="10">
        <f>IF(Table1[[#This Row],[ID ROW]]&lt;=12,Table1[[#This Row],[ID ROW]],Table1[[#This Row],[ID ROW]]+INT((Table1[[#This Row],[ID ROW]]-1)/12)*2)</f>
        <v>50</v>
      </c>
      <c r="N239" s="10" t="str">
        <f t="shared" si="15"/>
        <v>RSR50B1</v>
      </c>
      <c r="O239" s="10">
        <f>IF(Table1[[#This Row],[ID ROW]]&lt;=12,1,INT((Table1[[#This Row],[ID ROW]]-1)/12)+1)</f>
        <v>4</v>
      </c>
      <c r="P239" s="10">
        <f>Table1[[#This Row],[ID ROW]]-((Table1[[#This Row],[SECT]]-1)*12)</f>
        <v>8</v>
      </c>
    </row>
    <row r="240" spans="1:16" ht="15.75" customHeight="1" x14ac:dyDescent="0.25">
      <c r="A240" s="6" t="s">
        <v>878</v>
      </c>
      <c r="B240" s="6" t="s">
        <v>879</v>
      </c>
      <c r="C240" s="6" t="s">
        <v>880</v>
      </c>
      <c r="D240" s="6" t="s">
        <v>881</v>
      </c>
      <c r="F240" s="7" t="s">
        <v>882</v>
      </c>
      <c r="G240" s="8">
        <v>239</v>
      </c>
      <c r="H240" s="9" t="s">
        <v>21</v>
      </c>
      <c r="I240" s="9">
        <f t="shared" si="13"/>
        <v>44</v>
      </c>
      <c r="J240" s="9">
        <f t="shared" si="12"/>
        <v>2</v>
      </c>
      <c r="K240" s="10" t="str">
        <f t="shared" si="14"/>
        <v>S1R44B2</v>
      </c>
      <c r="L240" s="10" t="s">
        <v>22</v>
      </c>
      <c r="M240" s="10">
        <f>IF(Table1[[#This Row],[ID ROW]]&lt;=12,Table1[[#This Row],[ID ROW]],Table1[[#This Row],[ID ROW]]+INT((Table1[[#This Row],[ID ROW]]-1)/12)*2)</f>
        <v>50</v>
      </c>
      <c r="N240" s="10" t="str">
        <f t="shared" si="15"/>
        <v>RSR50B2</v>
      </c>
      <c r="O240" s="10">
        <f>IF(Table1[[#This Row],[ID ROW]]&lt;=12,1,INT((Table1[[#This Row],[ID ROW]]-1)/12)+1)</f>
        <v>4</v>
      </c>
      <c r="P240" s="10">
        <f>Table1[[#This Row],[ID ROW]]-((Table1[[#This Row],[SECT]]-1)*12)</f>
        <v>8</v>
      </c>
    </row>
    <row r="241" spans="1:16" ht="15.75" customHeight="1" x14ac:dyDescent="0.3">
      <c r="A241" s="6" t="s">
        <v>234</v>
      </c>
      <c r="B241" s="6" t="s">
        <v>235</v>
      </c>
      <c r="C241" s="6" t="s">
        <v>883</v>
      </c>
      <c r="F241" s="13" t="s">
        <v>884</v>
      </c>
      <c r="G241" s="8">
        <v>240</v>
      </c>
      <c r="H241" s="9" t="s">
        <v>21</v>
      </c>
      <c r="I241" s="9">
        <f t="shared" si="13"/>
        <v>44</v>
      </c>
      <c r="J241" s="9">
        <f t="shared" si="12"/>
        <v>3</v>
      </c>
      <c r="K241" s="10" t="str">
        <f t="shared" si="14"/>
        <v>S1R44B3</v>
      </c>
      <c r="L241" s="10" t="s">
        <v>22</v>
      </c>
      <c r="M241" s="10">
        <f>IF(Table1[[#This Row],[ID ROW]]&lt;=12,Table1[[#This Row],[ID ROW]],Table1[[#This Row],[ID ROW]]+INT((Table1[[#This Row],[ID ROW]]-1)/12)*2)</f>
        <v>50</v>
      </c>
      <c r="N241" s="10" t="str">
        <f t="shared" si="15"/>
        <v>RSR50B3</v>
      </c>
      <c r="O241" s="10">
        <f>IF(Table1[[#This Row],[ID ROW]]&lt;=12,1,INT((Table1[[#This Row],[ID ROW]]-1)/12)+1)</f>
        <v>4</v>
      </c>
      <c r="P241" s="10">
        <f>Table1[[#This Row],[ID ROW]]-((Table1[[#This Row],[SECT]]-1)*12)</f>
        <v>8</v>
      </c>
    </row>
    <row r="242" spans="1:16" ht="15.75" customHeight="1" x14ac:dyDescent="0.25">
      <c r="A242" s="6" t="s">
        <v>885</v>
      </c>
      <c r="B242" s="6" t="s">
        <v>404</v>
      </c>
      <c r="C242" s="6" t="s">
        <v>886</v>
      </c>
      <c r="D242" s="6" t="s">
        <v>887</v>
      </c>
      <c r="F242" s="7" t="s">
        <v>888</v>
      </c>
      <c r="G242" s="8">
        <v>241</v>
      </c>
      <c r="H242" s="9" t="s">
        <v>21</v>
      </c>
      <c r="I242" s="9">
        <f t="shared" si="13"/>
        <v>44</v>
      </c>
      <c r="J242" s="9">
        <f t="shared" si="12"/>
        <v>4</v>
      </c>
      <c r="K242" s="10" t="str">
        <f t="shared" si="14"/>
        <v>S1R44B4</v>
      </c>
      <c r="L242" s="10" t="s">
        <v>22</v>
      </c>
      <c r="M242" s="10">
        <f>IF(Table1[[#This Row],[ID ROW]]&lt;=12,Table1[[#This Row],[ID ROW]],Table1[[#This Row],[ID ROW]]+INT((Table1[[#This Row],[ID ROW]]-1)/12)*2)</f>
        <v>50</v>
      </c>
      <c r="N242" s="10" t="str">
        <f t="shared" si="15"/>
        <v>RSR50B4</v>
      </c>
      <c r="O242" s="10">
        <f>IF(Table1[[#This Row],[ID ROW]]&lt;=12,1,INT((Table1[[#This Row],[ID ROW]]-1)/12)+1)</f>
        <v>4</v>
      </c>
      <c r="P242" s="10">
        <f>Table1[[#This Row],[ID ROW]]-((Table1[[#This Row],[SECT]]-1)*12)</f>
        <v>8</v>
      </c>
    </row>
    <row r="243" spans="1:16" ht="15.75" customHeight="1" x14ac:dyDescent="0.3">
      <c r="A243" s="6" t="s">
        <v>889</v>
      </c>
      <c r="B243" s="6" t="s">
        <v>890</v>
      </c>
      <c r="C243" s="6" t="s">
        <v>891</v>
      </c>
      <c r="F243" s="13" t="s">
        <v>892</v>
      </c>
      <c r="G243" s="8">
        <v>242</v>
      </c>
      <c r="H243" s="9" t="s">
        <v>21</v>
      </c>
      <c r="I243" s="9">
        <f t="shared" si="13"/>
        <v>44</v>
      </c>
      <c r="J243" s="9">
        <f t="shared" si="12"/>
        <v>5</v>
      </c>
      <c r="K243" s="10" t="str">
        <f t="shared" si="14"/>
        <v>S1R44B5</v>
      </c>
      <c r="L243" s="10" t="s">
        <v>22</v>
      </c>
      <c r="M243" s="10">
        <f>IF(Table1[[#This Row],[ID ROW]]&lt;=12,Table1[[#This Row],[ID ROW]],Table1[[#This Row],[ID ROW]]+INT((Table1[[#This Row],[ID ROW]]-1)/12)*2)</f>
        <v>50</v>
      </c>
      <c r="N243" s="10" t="str">
        <f t="shared" si="15"/>
        <v>RSR50B5</v>
      </c>
      <c r="O243" s="10">
        <f>IF(Table1[[#This Row],[ID ROW]]&lt;=12,1,INT((Table1[[#This Row],[ID ROW]]-1)/12)+1)</f>
        <v>4</v>
      </c>
      <c r="P243" s="10">
        <f>Table1[[#This Row],[ID ROW]]-((Table1[[#This Row],[SECT]]-1)*12)</f>
        <v>8</v>
      </c>
    </row>
    <row r="244" spans="1:16" ht="15.75" customHeight="1" x14ac:dyDescent="0.25">
      <c r="A244" s="6" t="s">
        <v>893</v>
      </c>
      <c r="B244" s="6" t="s">
        <v>894</v>
      </c>
      <c r="C244" s="6" t="s">
        <v>567</v>
      </c>
      <c r="F244" s="7" t="s">
        <v>895</v>
      </c>
      <c r="G244" s="8">
        <v>243</v>
      </c>
      <c r="H244" s="9" t="s">
        <v>21</v>
      </c>
      <c r="I244" s="9">
        <f t="shared" si="13"/>
        <v>45</v>
      </c>
      <c r="J244" s="9">
        <f t="shared" si="12"/>
        <v>1</v>
      </c>
      <c r="K244" s="10" t="str">
        <f t="shared" si="14"/>
        <v>S1R45B1</v>
      </c>
      <c r="L244" s="10" t="s">
        <v>22</v>
      </c>
      <c r="M244" s="10">
        <f>IF(Table1[[#This Row],[ID ROW]]&lt;=12,Table1[[#This Row],[ID ROW]],Table1[[#This Row],[ID ROW]]+INT((Table1[[#This Row],[ID ROW]]-1)/12)*2)</f>
        <v>51</v>
      </c>
      <c r="N244" s="10" t="str">
        <f t="shared" si="15"/>
        <v>RSR51B1</v>
      </c>
      <c r="O244" s="10">
        <f>IF(Table1[[#This Row],[ID ROW]]&lt;=12,1,INT((Table1[[#This Row],[ID ROW]]-1)/12)+1)</f>
        <v>4</v>
      </c>
      <c r="P244" s="10">
        <f>Table1[[#This Row],[ID ROW]]-((Table1[[#This Row],[SECT]]-1)*12)</f>
        <v>9</v>
      </c>
    </row>
    <row r="245" spans="1:16" ht="15.75" customHeight="1" x14ac:dyDescent="0.3">
      <c r="A245" s="6" t="s">
        <v>896</v>
      </c>
      <c r="B245" s="6" t="s">
        <v>897</v>
      </c>
      <c r="F245" s="13" t="s">
        <v>898</v>
      </c>
      <c r="G245" s="8">
        <v>244</v>
      </c>
      <c r="H245" s="9" t="s">
        <v>21</v>
      </c>
      <c r="I245" s="9">
        <f t="shared" si="13"/>
        <v>45</v>
      </c>
      <c r="J245" s="9">
        <f t="shared" si="12"/>
        <v>2</v>
      </c>
      <c r="K245" s="10" t="str">
        <f t="shared" si="14"/>
        <v>S1R45B2</v>
      </c>
      <c r="L245" s="10" t="s">
        <v>22</v>
      </c>
      <c r="M245" s="10">
        <f>IF(Table1[[#This Row],[ID ROW]]&lt;=12,Table1[[#This Row],[ID ROW]],Table1[[#This Row],[ID ROW]]+INT((Table1[[#This Row],[ID ROW]]-1)/12)*2)</f>
        <v>51</v>
      </c>
      <c r="N245" s="10" t="str">
        <f t="shared" si="15"/>
        <v>RSR51B2</v>
      </c>
      <c r="O245" s="10">
        <f>IF(Table1[[#This Row],[ID ROW]]&lt;=12,1,INT((Table1[[#This Row],[ID ROW]]-1)/12)+1)</f>
        <v>4</v>
      </c>
      <c r="P245" s="10">
        <f>Table1[[#This Row],[ID ROW]]-((Table1[[#This Row],[SECT]]-1)*12)</f>
        <v>9</v>
      </c>
    </row>
    <row r="246" spans="1:16" ht="15.75" customHeight="1" x14ac:dyDescent="0.25">
      <c r="A246" s="6" t="s">
        <v>899</v>
      </c>
      <c r="B246" s="6" t="s">
        <v>900</v>
      </c>
      <c r="C246" s="6" t="s">
        <v>901</v>
      </c>
      <c r="F246" s="7" t="s">
        <v>902</v>
      </c>
      <c r="G246" s="8">
        <v>245</v>
      </c>
      <c r="H246" s="9" t="s">
        <v>21</v>
      </c>
      <c r="I246" s="9">
        <f t="shared" si="13"/>
        <v>45</v>
      </c>
      <c r="J246" s="9">
        <f t="shared" si="12"/>
        <v>3</v>
      </c>
      <c r="K246" s="10" t="str">
        <f t="shared" si="14"/>
        <v>S1R45B3</v>
      </c>
      <c r="L246" s="10" t="s">
        <v>22</v>
      </c>
      <c r="M246" s="10">
        <f>IF(Table1[[#This Row],[ID ROW]]&lt;=12,Table1[[#This Row],[ID ROW]],Table1[[#This Row],[ID ROW]]+INT((Table1[[#This Row],[ID ROW]]-1)/12)*2)</f>
        <v>51</v>
      </c>
      <c r="N246" s="10" t="str">
        <f t="shared" si="15"/>
        <v>RSR51B3</v>
      </c>
      <c r="O246" s="10">
        <f>IF(Table1[[#This Row],[ID ROW]]&lt;=12,1,INT((Table1[[#This Row],[ID ROW]]-1)/12)+1)</f>
        <v>4</v>
      </c>
      <c r="P246" s="10">
        <f>Table1[[#This Row],[ID ROW]]-((Table1[[#This Row],[SECT]]-1)*12)</f>
        <v>9</v>
      </c>
    </row>
    <row r="247" spans="1:16" ht="15.75" customHeight="1" x14ac:dyDescent="0.3">
      <c r="A247" s="6" t="s">
        <v>165</v>
      </c>
      <c r="B247" s="6" t="s">
        <v>903</v>
      </c>
      <c r="C247" s="6" t="s">
        <v>904</v>
      </c>
      <c r="D247" s="6" t="s">
        <v>905</v>
      </c>
      <c r="F247" s="13" t="s">
        <v>906</v>
      </c>
      <c r="G247" s="8">
        <v>246</v>
      </c>
      <c r="H247" s="9" t="s">
        <v>21</v>
      </c>
      <c r="I247" s="9">
        <f t="shared" si="13"/>
        <v>45</v>
      </c>
      <c r="J247" s="9">
        <f t="shared" si="12"/>
        <v>4</v>
      </c>
      <c r="K247" s="10" t="str">
        <f t="shared" si="14"/>
        <v>S1R45B4</v>
      </c>
      <c r="L247" s="10" t="s">
        <v>22</v>
      </c>
      <c r="M247" s="10">
        <f>IF(Table1[[#This Row],[ID ROW]]&lt;=12,Table1[[#This Row],[ID ROW]],Table1[[#This Row],[ID ROW]]+INT((Table1[[#This Row],[ID ROW]]-1)/12)*2)</f>
        <v>51</v>
      </c>
      <c r="N247" s="10" t="str">
        <f t="shared" si="15"/>
        <v>RSR51B4</v>
      </c>
      <c r="O247" s="10">
        <f>IF(Table1[[#This Row],[ID ROW]]&lt;=12,1,INT((Table1[[#This Row],[ID ROW]]-1)/12)+1)</f>
        <v>4</v>
      </c>
      <c r="P247" s="10">
        <f>Table1[[#This Row],[ID ROW]]-((Table1[[#This Row],[SECT]]-1)*12)</f>
        <v>9</v>
      </c>
    </row>
    <row r="248" spans="1:16" ht="15.75" customHeight="1" x14ac:dyDescent="0.25">
      <c r="A248" s="6" t="s">
        <v>907</v>
      </c>
      <c r="B248" s="6" t="s">
        <v>908</v>
      </c>
      <c r="F248" s="7" t="s">
        <v>909</v>
      </c>
      <c r="G248" s="8">
        <v>247</v>
      </c>
      <c r="H248" s="9" t="s">
        <v>21</v>
      </c>
      <c r="I248" s="9">
        <f t="shared" si="13"/>
        <v>45</v>
      </c>
      <c r="J248" s="9">
        <f t="shared" si="12"/>
        <v>5</v>
      </c>
      <c r="K248" s="10" t="str">
        <f t="shared" si="14"/>
        <v>S1R45B5</v>
      </c>
      <c r="L248" s="10" t="s">
        <v>22</v>
      </c>
      <c r="M248" s="10">
        <f>IF(Table1[[#This Row],[ID ROW]]&lt;=12,Table1[[#This Row],[ID ROW]],Table1[[#This Row],[ID ROW]]+INT((Table1[[#This Row],[ID ROW]]-1)/12)*2)</f>
        <v>51</v>
      </c>
      <c r="N248" s="10" t="str">
        <f t="shared" si="15"/>
        <v>RSR51B5</v>
      </c>
      <c r="O248" s="10">
        <f>IF(Table1[[#This Row],[ID ROW]]&lt;=12,1,INT((Table1[[#This Row],[ID ROW]]-1)/12)+1)</f>
        <v>4</v>
      </c>
      <c r="P248" s="10">
        <f>Table1[[#This Row],[ID ROW]]-((Table1[[#This Row],[SECT]]-1)*12)</f>
        <v>9</v>
      </c>
    </row>
    <row r="249" spans="1:16" ht="15.75" customHeight="1" x14ac:dyDescent="0.3">
      <c r="A249" s="6" t="s">
        <v>143</v>
      </c>
      <c r="B249" s="6" t="s">
        <v>910</v>
      </c>
      <c r="C249" s="6" t="s">
        <v>168</v>
      </c>
      <c r="F249" s="13" t="s">
        <v>911</v>
      </c>
      <c r="G249" s="8">
        <v>248</v>
      </c>
      <c r="H249" s="9" t="s">
        <v>21</v>
      </c>
      <c r="I249" s="9">
        <f t="shared" si="13"/>
        <v>45</v>
      </c>
      <c r="J249" s="9">
        <f t="shared" si="12"/>
        <v>6</v>
      </c>
      <c r="K249" s="10" t="str">
        <f t="shared" si="14"/>
        <v>S1R45B6</v>
      </c>
      <c r="L249" s="10" t="s">
        <v>22</v>
      </c>
      <c r="M249" s="10">
        <f>IF(Table1[[#This Row],[ID ROW]]&lt;=12,Table1[[#This Row],[ID ROW]],Table1[[#This Row],[ID ROW]]+INT((Table1[[#This Row],[ID ROW]]-1)/12)*2)</f>
        <v>51</v>
      </c>
      <c r="N249" s="10" t="str">
        <f t="shared" si="15"/>
        <v>RSR51B6</v>
      </c>
      <c r="O249" s="10">
        <f>IF(Table1[[#This Row],[ID ROW]]&lt;=12,1,INT((Table1[[#This Row],[ID ROW]]-1)/12)+1)</f>
        <v>4</v>
      </c>
      <c r="P249" s="10">
        <f>Table1[[#This Row],[ID ROW]]-((Table1[[#This Row],[SECT]]-1)*12)</f>
        <v>9</v>
      </c>
    </row>
    <row r="250" spans="1:16" ht="15.75" customHeight="1" x14ac:dyDescent="0.25">
      <c r="A250" s="6" t="s">
        <v>912</v>
      </c>
      <c r="B250" s="6" t="s">
        <v>913</v>
      </c>
      <c r="C250" s="6" t="s">
        <v>914</v>
      </c>
      <c r="F250" s="7" t="s">
        <v>915</v>
      </c>
      <c r="G250" s="8">
        <v>249</v>
      </c>
      <c r="H250" s="9" t="s">
        <v>21</v>
      </c>
      <c r="I250" s="9">
        <f t="shared" si="13"/>
        <v>46</v>
      </c>
      <c r="J250" s="9">
        <f t="shared" si="12"/>
        <v>1</v>
      </c>
      <c r="K250" s="10" t="str">
        <f t="shared" si="14"/>
        <v>S1R46B1</v>
      </c>
      <c r="L250" s="10" t="s">
        <v>22</v>
      </c>
      <c r="M250" s="10">
        <f>IF(Table1[[#This Row],[ID ROW]]&lt;=12,Table1[[#This Row],[ID ROW]],Table1[[#This Row],[ID ROW]]+INT((Table1[[#This Row],[ID ROW]]-1)/12)*2)</f>
        <v>52</v>
      </c>
      <c r="N250" s="10" t="str">
        <f t="shared" si="15"/>
        <v>RSR52B1</v>
      </c>
      <c r="O250" s="10">
        <f>IF(Table1[[#This Row],[ID ROW]]&lt;=12,1,INT((Table1[[#This Row],[ID ROW]]-1)/12)+1)</f>
        <v>4</v>
      </c>
      <c r="P250" s="10">
        <f>Table1[[#This Row],[ID ROW]]-((Table1[[#This Row],[SECT]]-1)*12)</f>
        <v>10</v>
      </c>
    </row>
    <row r="251" spans="1:16" ht="15.75" customHeight="1" x14ac:dyDescent="0.3">
      <c r="A251" s="6" t="s">
        <v>916</v>
      </c>
      <c r="B251" s="6" t="s">
        <v>917</v>
      </c>
      <c r="C251" s="6" t="s">
        <v>918</v>
      </c>
      <c r="F251" s="13" t="s">
        <v>915</v>
      </c>
      <c r="G251" s="8">
        <v>250</v>
      </c>
      <c r="H251" s="9" t="s">
        <v>21</v>
      </c>
      <c r="I251" s="9">
        <f t="shared" si="13"/>
        <v>46</v>
      </c>
      <c r="J251" s="9">
        <f t="shared" si="12"/>
        <v>2</v>
      </c>
      <c r="K251" s="10" t="str">
        <f t="shared" si="14"/>
        <v>S1R46B2</v>
      </c>
      <c r="L251" s="10" t="s">
        <v>22</v>
      </c>
      <c r="M251" s="10">
        <f>IF(Table1[[#This Row],[ID ROW]]&lt;=12,Table1[[#This Row],[ID ROW]],Table1[[#This Row],[ID ROW]]+INT((Table1[[#This Row],[ID ROW]]-1)/12)*2)</f>
        <v>52</v>
      </c>
      <c r="N251" s="10" t="str">
        <f t="shared" si="15"/>
        <v>RSR52B2</v>
      </c>
      <c r="O251" s="10">
        <f>IF(Table1[[#This Row],[ID ROW]]&lt;=12,1,INT((Table1[[#This Row],[ID ROW]]-1)/12)+1)</f>
        <v>4</v>
      </c>
      <c r="P251" s="10">
        <f>Table1[[#This Row],[ID ROW]]-((Table1[[#This Row],[SECT]]-1)*12)</f>
        <v>10</v>
      </c>
    </row>
    <row r="252" spans="1:16" ht="15.75" customHeight="1" x14ac:dyDescent="0.25">
      <c r="A252" s="6" t="s">
        <v>919</v>
      </c>
      <c r="B252" s="6" t="s">
        <v>920</v>
      </c>
      <c r="F252" s="7" t="s">
        <v>921</v>
      </c>
      <c r="G252" s="8">
        <v>251</v>
      </c>
      <c r="H252" s="9" t="s">
        <v>21</v>
      </c>
      <c r="I252" s="9">
        <f t="shared" si="13"/>
        <v>46</v>
      </c>
      <c r="J252" s="9">
        <f t="shared" si="12"/>
        <v>3</v>
      </c>
      <c r="K252" s="10" t="str">
        <f t="shared" si="14"/>
        <v>S1R46B3</v>
      </c>
      <c r="L252" s="10" t="s">
        <v>22</v>
      </c>
      <c r="M252" s="10">
        <f>IF(Table1[[#This Row],[ID ROW]]&lt;=12,Table1[[#This Row],[ID ROW]],Table1[[#This Row],[ID ROW]]+INT((Table1[[#This Row],[ID ROW]]-1)/12)*2)</f>
        <v>52</v>
      </c>
      <c r="N252" s="10" t="str">
        <f t="shared" si="15"/>
        <v>RSR52B3</v>
      </c>
      <c r="O252" s="10">
        <f>IF(Table1[[#This Row],[ID ROW]]&lt;=12,1,INT((Table1[[#This Row],[ID ROW]]-1)/12)+1)</f>
        <v>4</v>
      </c>
      <c r="P252" s="10">
        <f>Table1[[#This Row],[ID ROW]]-((Table1[[#This Row],[SECT]]-1)*12)</f>
        <v>10</v>
      </c>
    </row>
    <row r="253" spans="1:16" ht="15.75" customHeight="1" x14ac:dyDescent="0.3">
      <c r="A253" s="6" t="s">
        <v>922</v>
      </c>
      <c r="B253" s="6" t="s">
        <v>567</v>
      </c>
      <c r="C253" s="6" t="s">
        <v>923</v>
      </c>
      <c r="F253" s="13" t="s">
        <v>921</v>
      </c>
      <c r="G253" s="8">
        <v>252</v>
      </c>
      <c r="H253" s="9" t="s">
        <v>21</v>
      </c>
      <c r="I253" s="9">
        <f t="shared" si="13"/>
        <v>46</v>
      </c>
      <c r="J253" s="9">
        <f t="shared" si="12"/>
        <v>4</v>
      </c>
      <c r="K253" s="10" t="str">
        <f t="shared" si="14"/>
        <v>S1R46B4</v>
      </c>
      <c r="L253" s="10" t="s">
        <v>22</v>
      </c>
      <c r="M253" s="10">
        <f>IF(Table1[[#This Row],[ID ROW]]&lt;=12,Table1[[#This Row],[ID ROW]],Table1[[#This Row],[ID ROW]]+INT((Table1[[#This Row],[ID ROW]]-1)/12)*2)</f>
        <v>52</v>
      </c>
      <c r="N253" s="10" t="str">
        <f t="shared" si="15"/>
        <v>RSR52B4</v>
      </c>
      <c r="O253" s="10">
        <f>IF(Table1[[#This Row],[ID ROW]]&lt;=12,1,INT((Table1[[#This Row],[ID ROW]]-1)/12)+1)</f>
        <v>4</v>
      </c>
      <c r="P253" s="10">
        <f>Table1[[#This Row],[ID ROW]]-((Table1[[#This Row],[SECT]]-1)*12)</f>
        <v>10</v>
      </c>
    </row>
    <row r="254" spans="1:16" ht="15.75" customHeight="1" x14ac:dyDescent="0.25">
      <c r="A254" s="6" t="s">
        <v>924</v>
      </c>
      <c r="B254" s="6" t="s">
        <v>925</v>
      </c>
      <c r="C254" s="6" t="s">
        <v>117</v>
      </c>
      <c r="F254" s="7" t="s">
        <v>921</v>
      </c>
      <c r="G254" s="8">
        <v>253</v>
      </c>
      <c r="H254" s="9" t="s">
        <v>21</v>
      </c>
      <c r="I254" s="9">
        <f t="shared" si="13"/>
        <v>46</v>
      </c>
      <c r="J254" s="9">
        <f t="shared" si="12"/>
        <v>5</v>
      </c>
      <c r="K254" s="10" t="str">
        <f t="shared" si="14"/>
        <v>S1R46B5</v>
      </c>
      <c r="L254" s="10" t="s">
        <v>22</v>
      </c>
      <c r="M254" s="10">
        <f>IF(Table1[[#This Row],[ID ROW]]&lt;=12,Table1[[#This Row],[ID ROW]],Table1[[#This Row],[ID ROW]]+INT((Table1[[#This Row],[ID ROW]]-1)/12)*2)</f>
        <v>52</v>
      </c>
      <c r="N254" s="10" t="str">
        <f t="shared" si="15"/>
        <v>RSR52B5</v>
      </c>
      <c r="O254" s="10">
        <f>IF(Table1[[#This Row],[ID ROW]]&lt;=12,1,INT((Table1[[#This Row],[ID ROW]]-1)/12)+1)</f>
        <v>4</v>
      </c>
      <c r="P254" s="10">
        <f>Table1[[#This Row],[ID ROW]]-((Table1[[#This Row],[SECT]]-1)*12)</f>
        <v>10</v>
      </c>
    </row>
    <row r="255" spans="1:16" ht="15.75" customHeight="1" x14ac:dyDescent="0.3">
      <c r="A255" s="6" t="s">
        <v>926</v>
      </c>
      <c r="B255" s="6" t="s">
        <v>612</v>
      </c>
      <c r="C255" s="6" t="s">
        <v>927</v>
      </c>
      <c r="F255" s="13" t="s">
        <v>928</v>
      </c>
      <c r="G255" s="8">
        <v>254</v>
      </c>
      <c r="H255" s="9" t="s">
        <v>21</v>
      </c>
      <c r="I255" s="9">
        <f t="shared" si="13"/>
        <v>47</v>
      </c>
      <c r="J255" s="9">
        <f t="shared" si="12"/>
        <v>1</v>
      </c>
      <c r="K255" s="10" t="str">
        <f t="shared" si="14"/>
        <v>S1R47B1</v>
      </c>
      <c r="L255" s="10" t="s">
        <v>22</v>
      </c>
      <c r="M255" s="10">
        <f>IF(Table1[[#This Row],[ID ROW]]&lt;=12,Table1[[#This Row],[ID ROW]],Table1[[#This Row],[ID ROW]]+INT((Table1[[#This Row],[ID ROW]]-1)/12)*2)</f>
        <v>53</v>
      </c>
      <c r="N255" s="10" t="str">
        <f t="shared" si="15"/>
        <v>RSR53B1</v>
      </c>
      <c r="O255" s="10">
        <f>IF(Table1[[#This Row],[ID ROW]]&lt;=12,1,INT((Table1[[#This Row],[ID ROW]]-1)/12)+1)</f>
        <v>4</v>
      </c>
      <c r="P255" s="10">
        <f>Table1[[#This Row],[ID ROW]]-((Table1[[#This Row],[SECT]]-1)*12)</f>
        <v>11</v>
      </c>
    </row>
    <row r="256" spans="1:16" ht="15.75" customHeight="1" x14ac:dyDescent="0.25">
      <c r="A256" s="6" t="s">
        <v>929</v>
      </c>
      <c r="B256" s="6" t="s">
        <v>769</v>
      </c>
      <c r="C256" s="6" t="s">
        <v>930</v>
      </c>
      <c r="F256" s="7" t="s">
        <v>931</v>
      </c>
      <c r="G256" s="8">
        <v>255</v>
      </c>
      <c r="H256" s="9" t="s">
        <v>21</v>
      </c>
      <c r="I256" s="9">
        <f t="shared" si="13"/>
        <v>47</v>
      </c>
      <c r="J256" s="9">
        <f t="shared" si="12"/>
        <v>2</v>
      </c>
      <c r="K256" s="10" t="str">
        <f t="shared" si="14"/>
        <v>S1R47B2</v>
      </c>
      <c r="L256" s="10" t="s">
        <v>22</v>
      </c>
      <c r="M256" s="10">
        <f>IF(Table1[[#This Row],[ID ROW]]&lt;=12,Table1[[#This Row],[ID ROW]],Table1[[#This Row],[ID ROW]]+INT((Table1[[#This Row],[ID ROW]]-1)/12)*2)</f>
        <v>53</v>
      </c>
      <c r="N256" s="10" t="str">
        <f t="shared" si="15"/>
        <v>RSR53B2</v>
      </c>
      <c r="O256" s="10">
        <f>IF(Table1[[#This Row],[ID ROW]]&lt;=12,1,INT((Table1[[#This Row],[ID ROW]]-1)/12)+1)</f>
        <v>4</v>
      </c>
      <c r="P256" s="10">
        <f>Table1[[#This Row],[ID ROW]]-((Table1[[#This Row],[SECT]]-1)*12)</f>
        <v>11</v>
      </c>
    </row>
    <row r="257" spans="1:16" ht="15.75" customHeight="1" x14ac:dyDescent="0.3">
      <c r="A257" s="6" t="s">
        <v>932</v>
      </c>
      <c r="B257" s="6" t="s">
        <v>150</v>
      </c>
      <c r="C257" s="6" t="s">
        <v>933</v>
      </c>
      <c r="F257" s="13" t="s">
        <v>934</v>
      </c>
      <c r="G257" s="8">
        <v>256</v>
      </c>
      <c r="H257" s="9" t="s">
        <v>21</v>
      </c>
      <c r="I257" s="9">
        <f t="shared" si="13"/>
        <v>47</v>
      </c>
      <c r="J257" s="9">
        <f t="shared" si="12"/>
        <v>3</v>
      </c>
      <c r="K257" s="10" t="str">
        <f t="shared" si="14"/>
        <v>S1R47B3</v>
      </c>
      <c r="L257" s="10" t="s">
        <v>22</v>
      </c>
      <c r="M257" s="10">
        <f>IF(Table1[[#This Row],[ID ROW]]&lt;=12,Table1[[#This Row],[ID ROW]],Table1[[#This Row],[ID ROW]]+INT((Table1[[#This Row],[ID ROW]]-1)/12)*2)</f>
        <v>53</v>
      </c>
      <c r="N257" s="10" t="str">
        <f t="shared" si="15"/>
        <v>RSR53B3</v>
      </c>
      <c r="O257" s="10">
        <f>IF(Table1[[#This Row],[ID ROW]]&lt;=12,1,INT((Table1[[#This Row],[ID ROW]]-1)/12)+1)</f>
        <v>4</v>
      </c>
      <c r="P257" s="10">
        <f>Table1[[#This Row],[ID ROW]]-((Table1[[#This Row],[SECT]]-1)*12)</f>
        <v>11</v>
      </c>
    </row>
    <row r="258" spans="1:16" ht="15.75" customHeight="1" x14ac:dyDescent="0.25">
      <c r="A258" s="6" t="s">
        <v>935</v>
      </c>
      <c r="B258" s="6" t="s">
        <v>234</v>
      </c>
      <c r="C258" s="6" t="s">
        <v>936</v>
      </c>
      <c r="D258" s="6" t="s">
        <v>105</v>
      </c>
      <c r="F258" s="7" t="s">
        <v>937</v>
      </c>
      <c r="G258" s="8">
        <v>257</v>
      </c>
      <c r="H258" s="9" t="s">
        <v>21</v>
      </c>
      <c r="I258" s="9">
        <f t="shared" si="13"/>
        <v>47</v>
      </c>
      <c r="J258" s="9">
        <f t="shared" ref="J258:J321" si="16">IF(MOD(G258-1,11)&lt;6,(MOD(G258-1,11)+1-(5*FLOOR(MOD(G258-1,11),6))),(MOD(G258-1,11))-5)</f>
        <v>4</v>
      </c>
      <c r="K258" s="10" t="str">
        <f t="shared" si="14"/>
        <v>S1R47B4</v>
      </c>
      <c r="L258" s="10" t="s">
        <v>22</v>
      </c>
      <c r="M258" s="10">
        <f>IF(Table1[[#This Row],[ID ROW]]&lt;=12,Table1[[#This Row],[ID ROW]],Table1[[#This Row],[ID ROW]]+INT((Table1[[#This Row],[ID ROW]]-1)/12)*2)</f>
        <v>53</v>
      </c>
      <c r="N258" s="10" t="str">
        <f t="shared" si="15"/>
        <v>RSR53B4</v>
      </c>
      <c r="O258" s="10">
        <f>IF(Table1[[#This Row],[ID ROW]]&lt;=12,1,INT((Table1[[#This Row],[ID ROW]]-1)/12)+1)</f>
        <v>4</v>
      </c>
      <c r="P258" s="10">
        <f>Table1[[#This Row],[ID ROW]]-((Table1[[#This Row],[SECT]]-1)*12)</f>
        <v>11</v>
      </c>
    </row>
    <row r="259" spans="1:16" ht="15.75" customHeight="1" x14ac:dyDescent="0.3">
      <c r="A259" s="6" t="s">
        <v>938</v>
      </c>
      <c r="B259" s="6" t="s">
        <v>939</v>
      </c>
      <c r="C259" s="6" t="s">
        <v>940</v>
      </c>
      <c r="F259" s="13" t="s">
        <v>941</v>
      </c>
      <c r="G259" s="8">
        <v>258</v>
      </c>
      <c r="H259" s="9" t="s">
        <v>21</v>
      </c>
      <c r="I259" s="9">
        <f t="shared" ref="I259:I322" si="17">INT((G259-1)/11)*2 + IF(MOD(G259-1, 11) &lt; 6, 1, 2)</f>
        <v>47</v>
      </c>
      <c r="J259" s="9">
        <f t="shared" si="16"/>
        <v>5</v>
      </c>
      <c r="K259" s="10" t="str">
        <f t="shared" ref="K259:K322" si="18">H259&amp;"R"&amp;I259&amp;"B"&amp;J259</f>
        <v>S1R47B5</v>
      </c>
      <c r="L259" s="10" t="s">
        <v>22</v>
      </c>
      <c r="M259" s="10">
        <f>IF(Table1[[#This Row],[ID ROW]]&lt;=12,Table1[[#This Row],[ID ROW]],Table1[[#This Row],[ID ROW]]+INT((Table1[[#This Row],[ID ROW]]-1)/12)*2)</f>
        <v>53</v>
      </c>
      <c r="N259" s="10" t="str">
        <f t="shared" ref="N259:N322" si="19">L259&amp;"R"&amp;M259&amp;"B"&amp;J259</f>
        <v>RSR53B5</v>
      </c>
      <c r="O259" s="10">
        <f>IF(Table1[[#This Row],[ID ROW]]&lt;=12,1,INT((Table1[[#This Row],[ID ROW]]-1)/12)+1)</f>
        <v>4</v>
      </c>
      <c r="P259" s="10">
        <f>Table1[[#This Row],[ID ROW]]-((Table1[[#This Row],[SECT]]-1)*12)</f>
        <v>11</v>
      </c>
    </row>
    <row r="260" spans="1:16" ht="15.75" customHeight="1" x14ac:dyDescent="0.25">
      <c r="A260" s="6" t="s">
        <v>942</v>
      </c>
      <c r="B260" s="6" t="s">
        <v>943</v>
      </c>
      <c r="C260" s="6" t="s">
        <v>67</v>
      </c>
      <c r="D260" s="6" t="s">
        <v>944</v>
      </c>
      <c r="F260" s="7" t="s">
        <v>941</v>
      </c>
      <c r="G260" s="8">
        <v>259</v>
      </c>
      <c r="H260" s="9" t="s">
        <v>21</v>
      </c>
      <c r="I260" s="9">
        <f t="shared" si="17"/>
        <v>47</v>
      </c>
      <c r="J260" s="9">
        <f t="shared" si="16"/>
        <v>6</v>
      </c>
      <c r="K260" s="10" t="str">
        <f t="shared" si="18"/>
        <v>S1R47B6</v>
      </c>
      <c r="L260" s="10" t="s">
        <v>22</v>
      </c>
      <c r="M260" s="10">
        <f>IF(Table1[[#This Row],[ID ROW]]&lt;=12,Table1[[#This Row],[ID ROW]],Table1[[#This Row],[ID ROW]]+INT((Table1[[#This Row],[ID ROW]]-1)/12)*2)</f>
        <v>53</v>
      </c>
      <c r="N260" s="10" t="str">
        <f t="shared" si="19"/>
        <v>RSR53B6</v>
      </c>
      <c r="O260" s="10">
        <f>IF(Table1[[#This Row],[ID ROW]]&lt;=12,1,INT((Table1[[#This Row],[ID ROW]]-1)/12)+1)</f>
        <v>4</v>
      </c>
      <c r="P260" s="10">
        <f>Table1[[#This Row],[ID ROW]]-((Table1[[#This Row],[SECT]]-1)*12)</f>
        <v>11</v>
      </c>
    </row>
    <row r="261" spans="1:16" ht="15.75" customHeight="1" x14ac:dyDescent="0.3">
      <c r="A261" s="6" t="s">
        <v>945</v>
      </c>
      <c r="B261" s="6" t="s">
        <v>946</v>
      </c>
      <c r="C261" s="6" t="s">
        <v>947</v>
      </c>
      <c r="F261" s="13" t="s">
        <v>948</v>
      </c>
      <c r="G261" s="8">
        <v>260</v>
      </c>
      <c r="H261" s="9" t="s">
        <v>21</v>
      </c>
      <c r="I261" s="9">
        <f t="shared" si="17"/>
        <v>48</v>
      </c>
      <c r="J261" s="9">
        <f t="shared" si="16"/>
        <v>1</v>
      </c>
      <c r="K261" s="10" t="str">
        <f t="shared" si="18"/>
        <v>S1R48B1</v>
      </c>
      <c r="L261" s="10" t="s">
        <v>22</v>
      </c>
      <c r="M261" s="10">
        <f>IF(Table1[[#This Row],[ID ROW]]&lt;=12,Table1[[#This Row],[ID ROW]],Table1[[#This Row],[ID ROW]]+INT((Table1[[#This Row],[ID ROW]]-1)/12)*2)</f>
        <v>54</v>
      </c>
      <c r="N261" s="10" t="str">
        <f t="shared" si="19"/>
        <v>RSR54B1</v>
      </c>
      <c r="O261" s="10">
        <f>IF(Table1[[#This Row],[ID ROW]]&lt;=12,1,INT((Table1[[#This Row],[ID ROW]]-1)/12)+1)</f>
        <v>4</v>
      </c>
      <c r="P261" s="10">
        <f>Table1[[#This Row],[ID ROW]]-((Table1[[#This Row],[SECT]]-1)*12)</f>
        <v>12</v>
      </c>
    </row>
    <row r="262" spans="1:16" ht="15.75" customHeight="1" x14ac:dyDescent="0.25">
      <c r="A262" s="6" t="s">
        <v>949</v>
      </c>
      <c r="B262" s="6" t="s">
        <v>950</v>
      </c>
      <c r="C262" s="6" t="s">
        <v>951</v>
      </c>
      <c r="F262" s="7" t="s">
        <v>948</v>
      </c>
      <c r="G262" s="8">
        <v>261</v>
      </c>
      <c r="H262" s="9" t="s">
        <v>21</v>
      </c>
      <c r="I262" s="9">
        <f t="shared" si="17"/>
        <v>48</v>
      </c>
      <c r="J262" s="9">
        <f t="shared" si="16"/>
        <v>2</v>
      </c>
      <c r="K262" s="10" t="str">
        <f t="shared" si="18"/>
        <v>S1R48B2</v>
      </c>
      <c r="L262" s="10" t="s">
        <v>22</v>
      </c>
      <c r="M262" s="10">
        <f>IF(Table1[[#This Row],[ID ROW]]&lt;=12,Table1[[#This Row],[ID ROW]],Table1[[#This Row],[ID ROW]]+INT((Table1[[#This Row],[ID ROW]]-1)/12)*2)</f>
        <v>54</v>
      </c>
      <c r="N262" s="10" t="str">
        <f t="shared" si="19"/>
        <v>RSR54B2</v>
      </c>
      <c r="O262" s="10">
        <f>IF(Table1[[#This Row],[ID ROW]]&lt;=12,1,INT((Table1[[#This Row],[ID ROW]]-1)/12)+1)</f>
        <v>4</v>
      </c>
      <c r="P262" s="10">
        <f>Table1[[#This Row],[ID ROW]]-((Table1[[#This Row],[SECT]]-1)*12)</f>
        <v>12</v>
      </c>
    </row>
    <row r="263" spans="1:16" ht="15.75" customHeight="1" x14ac:dyDescent="0.3">
      <c r="A263" s="6" t="s">
        <v>150</v>
      </c>
      <c r="B263" s="6" t="s">
        <v>952</v>
      </c>
      <c r="C263" s="6" t="s">
        <v>953</v>
      </c>
      <c r="D263" s="6" t="s">
        <v>954</v>
      </c>
      <c r="F263" s="13" t="s">
        <v>955</v>
      </c>
      <c r="G263" s="8">
        <v>262</v>
      </c>
      <c r="H263" s="9" t="s">
        <v>21</v>
      </c>
      <c r="I263" s="9">
        <f t="shared" si="17"/>
        <v>48</v>
      </c>
      <c r="J263" s="9">
        <f t="shared" si="16"/>
        <v>3</v>
      </c>
      <c r="K263" s="10" t="str">
        <f t="shared" si="18"/>
        <v>S1R48B3</v>
      </c>
      <c r="L263" s="10" t="s">
        <v>22</v>
      </c>
      <c r="M263" s="10">
        <f>IF(Table1[[#This Row],[ID ROW]]&lt;=12,Table1[[#This Row],[ID ROW]],Table1[[#This Row],[ID ROW]]+INT((Table1[[#This Row],[ID ROW]]-1)/12)*2)</f>
        <v>54</v>
      </c>
      <c r="N263" s="10" t="str">
        <f t="shared" si="19"/>
        <v>RSR54B3</v>
      </c>
      <c r="O263" s="10">
        <f>IF(Table1[[#This Row],[ID ROW]]&lt;=12,1,INT((Table1[[#This Row],[ID ROW]]-1)/12)+1)</f>
        <v>4</v>
      </c>
      <c r="P263" s="10">
        <f>Table1[[#This Row],[ID ROW]]-((Table1[[#This Row],[SECT]]-1)*12)</f>
        <v>12</v>
      </c>
    </row>
    <row r="264" spans="1:16" ht="15.75" customHeight="1" x14ac:dyDescent="0.25">
      <c r="A264" s="6" t="s">
        <v>956</v>
      </c>
      <c r="B264" s="6" t="s">
        <v>957</v>
      </c>
      <c r="C264" s="6" t="s">
        <v>958</v>
      </c>
      <c r="D264" s="6" t="s">
        <v>959</v>
      </c>
      <c r="F264" s="7" t="s">
        <v>960</v>
      </c>
      <c r="G264" s="8">
        <v>263</v>
      </c>
      <c r="H264" s="9" t="s">
        <v>21</v>
      </c>
      <c r="I264" s="9">
        <f t="shared" si="17"/>
        <v>48</v>
      </c>
      <c r="J264" s="9">
        <f t="shared" si="16"/>
        <v>4</v>
      </c>
      <c r="K264" s="10" t="str">
        <f t="shared" si="18"/>
        <v>S1R48B4</v>
      </c>
      <c r="L264" s="10" t="s">
        <v>22</v>
      </c>
      <c r="M264" s="10">
        <f>IF(Table1[[#This Row],[ID ROW]]&lt;=12,Table1[[#This Row],[ID ROW]],Table1[[#This Row],[ID ROW]]+INT((Table1[[#This Row],[ID ROW]]-1)/12)*2)</f>
        <v>54</v>
      </c>
      <c r="N264" s="10" t="str">
        <f t="shared" si="19"/>
        <v>RSR54B4</v>
      </c>
      <c r="O264" s="10">
        <f>IF(Table1[[#This Row],[ID ROW]]&lt;=12,1,INT((Table1[[#This Row],[ID ROW]]-1)/12)+1)</f>
        <v>4</v>
      </c>
      <c r="P264" s="10">
        <f>Table1[[#This Row],[ID ROW]]-((Table1[[#This Row],[SECT]]-1)*12)</f>
        <v>12</v>
      </c>
    </row>
    <row r="265" spans="1:16" ht="15.75" customHeight="1" x14ac:dyDescent="0.3">
      <c r="A265" s="6" t="s">
        <v>961</v>
      </c>
      <c r="B265" s="6" t="s">
        <v>962</v>
      </c>
      <c r="C265" s="6" t="s">
        <v>963</v>
      </c>
      <c r="F265" s="13" t="s">
        <v>964</v>
      </c>
      <c r="G265" s="8">
        <v>264</v>
      </c>
      <c r="H265" s="9" t="s">
        <v>21</v>
      </c>
      <c r="I265" s="9">
        <f t="shared" si="17"/>
        <v>48</v>
      </c>
      <c r="J265" s="9">
        <f t="shared" si="16"/>
        <v>5</v>
      </c>
      <c r="K265" s="10" t="str">
        <f t="shared" si="18"/>
        <v>S1R48B5</v>
      </c>
      <c r="L265" s="10" t="s">
        <v>22</v>
      </c>
      <c r="M265" s="10">
        <f>IF(Table1[[#This Row],[ID ROW]]&lt;=12,Table1[[#This Row],[ID ROW]],Table1[[#This Row],[ID ROW]]+INT((Table1[[#This Row],[ID ROW]]-1)/12)*2)</f>
        <v>54</v>
      </c>
      <c r="N265" s="10" t="str">
        <f t="shared" si="19"/>
        <v>RSR54B5</v>
      </c>
      <c r="O265" s="10">
        <f>IF(Table1[[#This Row],[ID ROW]]&lt;=12,1,INT((Table1[[#This Row],[ID ROW]]-1)/12)+1)</f>
        <v>4</v>
      </c>
      <c r="P265" s="10">
        <f>Table1[[#This Row],[ID ROW]]-((Table1[[#This Row],[SECT]]-1)*12)</f>
        <v>12</v>
      </c>
    </row>
    <row r="266" spans="1:16" ht="15.75" customHeight="1" x14ac:dyDescent="0.25">
      <c r="A266" s="6" t="s">
        <v>965</v>
      </c>
      <c r="B266" s="6" t="s">
        <v>966</v>
      </c>
      <c r="C266" s="6" t="s">
        <v>967</v>
      </c>
      <c r="D266" s="6" t="s">
        <v>968</v>
      </c>
      <c r="F266" s="7" t="s">
        <v>969</v>
      </c>
      <c r="G266" s="8">
        <v>265</v>
      </c>
      <c r="H266" s="9" t="s">
        <v>21</v>
      </c>
      <c r="I266" s="9">
        <f t="shared" si="17"/>
        <v>49</v>
      </c>
      <c r="J266" s="9">
        <f t="shared" si="16"/>
        <v>1</v>
      </c>
      <c r="K266" s="10" t="str">
        <f t="shared" si="18"/>
        <v>S1R49B1</v>
      </c>
      <c r="L266" s="10" t="s">
        <v>22</v>
      </c>
      <c r="M266" s="10">
        <f>IF(Table1[[#This Row],[ID ROW]]&lt;=12,Table1[[#This Row],[ID ROW]],Table1[[#This Row],[ID ROW]]+INT((Table1[[#This Row],[ID ROW]]-1)/12)*2)</f>
        <v>57</v>
      </c>
      <c r="N266" s="10" t="str">
        <f t="shared" si="19"/>
        <v>RSR57B1</v>
      </c>
      <c r="O266" s="10">
        <f>IF(Table1[[#This Row],[ID ROW]]&lt;=12,1,INT((Table1[[#This Row],[ID ROW]]-1)/12)+1)</f>
        <v>5</v>
      </c>
      <c r="P266" s="10">
        <f>Table1[[#This Row],[ID ROW]]-((Table1[[#This Row],[SECT]]-1)*12)</f>
        <v>1</v>
      </c>
    </row>
    <row r="267" spans="1:16" ht="15.75" customHeight="1" x14ac:dyDescent="0.3">
      <c r="A267" s="6" t="s">
        <v>970</v>
      </c>
      <c r="C267" s="6" t="s">
        <v>971</v>
      </c>
      <c r="F267" s="13" t="s">
        <v>969</v>
      </c>
      <c r="G267" s="8">
        <v>266</v>
      </c>
      <c r="H267" s="9" t="s">
        <v>21</v>
      </c>
      <c r="I267" s="9">
        <f t="shared" si="17"/>
        <v>49</v>
      </c>
      <c r="J267" s="9">
        <f t="shared" si="16"/>
        <v>2</v>
      </c>
      <c r="K267" s="10" t="str">
        <f t="shared" si="18"/>
        <v>S1R49B2</v>
      </c>
      <c r="L267" s="10" t="s">
        <v>22</v>
      </c>
      <c r="M267" s="10">
        <f>IF(Table1[[#This Row],[ID ROW]]&lt;=12,Table1[[#This Row],[ID ROW]],Table1[[#This Row],[ID ROW]]+INT((Table1[[#This Row],[ID ROW]]-1)/12)*2)</f>
        <v>57</v>
      </c>
      <c r="N267" s="10" t="str">
        <f t="shared" si="19"/>
        <v>RSR57B2</v>
      </c>
      <c r="O267" s="10">
        <f>IF(Table1[[#This Row],[ID ROW]]&lt;=12,1,INT((Table1[[#This Row],[ID ROW]]-1)/12)+1)</f>
        <v>5</v>
      </c>
      <c r="P267" s="10">
        <f>Table1[[#This Row],[ID ROW]]-((Table1[[#This Row],[SECT]]-1)*12)</f>
        <v>1</v>
      </c>
    </row>
    <row r="268" spans="1:16" ht="15.75" customHeight="1" x14ac:dyDescent="0.25">
      <c r="A268" s="6" t="s">
        <v>972</v>
      </c>
      <c r="C268" s="6" t="s">
        <v>973</v>
      </c>
      <c r="D268" s="6" t="s">
        <v>974</v>
      </c>
      <c r="F268" s="7" t="s">
        <v>969</v>
      </c>
      <c r="G268" s="8">
        <v>267</v>
      </c>
      <c r="H268" s="9" t="s">
        <v>21</v>
      </c>
      <c r="I268" s="9">
        <f t="shared" si="17"/>
        <v>49</v>
      </c>
      <c r="J268" s="9">
        <f t="shared" si="16"/>
        <v>3</v>
      </c>
      <c r="K268" s="10" t="str">
        <f t="shared" si="18"/>
        <v>S1R49B3</v>
      </c>
      <c r="L268" s="10" t="s">
        <v>22</v>
      </c>
      <c r="M268" s="10">
        <f>IF(Table1[[#This Row],[ID ROW]]&lt;=12,Table1[[#This Row],[ID ROW]],Table1[[#This Row],[ID ROW]]+INT((Table1[[#This Row],[ID ROW]]-1)/12)*2)</f>
        <v>57</v>
      </c>
      <c r="N268" s="10" t="str">
        <f t="shared" si="19"/>
        <v>RSR57B3</v>
      </c>
      <c r="O268" s="10">
        <f>IF(Table1[[#This Row],[ID ROW]]&lt;=12,1,INT((Table1[[#This Row],[ID ROW]]-1)/12)+1)</f>
        <v>5</v>
      </c>
      <c r="P268" s="10">
        <f>Table1[[#This Row],[ID ROW]]-((Table1[[#This Row],[SECT]]-1)*12)</f>
        <v>1</v>
      </c>
    </row>
    <row r="269" spans="1:16" ht="15.75" customHeight="1" x14ac:dyDescent="0.3">
      <c r="A269" s="6" t="s">
        <v>975</v>
      </c>
      <c r="C269" s="6" t="s">
        <v>976</v>
      </c>
      <c r="D269" s="6" t="s">
        <v>977</v>
      </c>
      <c r="F269" s="13" t="s">
        <v>978</v>
      </c>
      <c r="G269" s="8">
        <v>268</v>
      </c>
      <c r="H269" s="9" t="s">
        <v>21</v>
      </c>
      <c r="I269" s="9">
        <f t="shared" si="17"/>
        <v>49</v>
      </c>
      <c r="J269" s="9">
        <f t="shared" si="16"/>
        <v>4</v>
      </c>
      <c r="K269" s="10" t="str">
        <f t="shared" si="18"/>
        <v>S1R49B4</v>
      </c>
      <c r="L269" s="10" t="s">
        <v>22</v>
      </c>
      <c r="M269" s="10">
        <f>IF(Table1[[#This Row],[ID ROW]]&lt;=12,Table1[[#This Row],[ID ROW]],Table1[[#This Row],[ID ROW]]+INT((Table1[[#This Row],[ID ROW]]-1)/12)*2)</f>
        <v>57</v>
      </c>
      <c r="N269" s="10" t="str">
        <f t="shared" si="19"/>
        <v>RSR57B4</v>
      </c>
      <c r="O269" s="10">
        <f>IF(Table1[[#This Row],[ID ROW]]&lt;=12,1,INT((Table1[[#This Row],[ID ROW]]-1)/12)+1)</f>
        <v>5</v>
      </c>
      <c r="P269" s="10">
        <f>Table1[[#This Row],[ID ROW]]-((Table1[[#This Row],[SECT]]-1)*12)</f>
        <v>1</v>
      </c>
    </row>
    <row r="270" spans="1:16" ht="15.75" customHeight="1" x14ac:dyDescent="0.25">
      <c r="A270" s="6" t="s">
        <v>979</v>
      </c>
      <c r="B270" s="6" t="s">
        <v>980</v>
      </c>
      <c r="C270" s="6" t="s">
        <v>981</v>
      </c>
      <c r="D270" s="6" t="s">
        <v>982</v>
      </c>
      <c r="F270" s="7" t="s">
        <v>983</v>
      </c>
      <c r="G270" s="8">
        <v>269</v>
      </c>
      <c r="H270" s="9" t="s">
        <v>21</v>
      </c>
      <c r="I270" s="9">
        <f t="shared" si="17"/>
        <v>49</v>
      </c>
      <c r="J270" s="9">
        <f t="shared" si="16"/>
        <v>5</v>
      </c>
      <c r="K270" s="10" t="str">
        <f t="shared" si="18"/>
        <v>S1R49B5</v>
      </c>
      <c r="L270" s="10" t="s">
        <v>22</v>
      </c>
      <c r="M270" s="10">
        <f>IF(Table1[[#This Row],[ID ROW]]&lt;=12,Table1[[#This Row],[ID ROW]],Table1[[#This Row],[ID ROW]]+INT((Table1[[#This Row],[ID ROW]]-1)/12)*2)</f>
        <v>57</v>
      </c>
      <c r="N270" s="10" t="str">
        <f t="shared" si="19"/>
        <v>RSR57B5</v>
      </c>
      <c r="O270" s="10">
        <f>IF(Table1[[#This Row],[ID ROW]]&lt;=12,1,INT((Table1[[#This Row],[ID ROW]]-1)/12)+1)</f>
        <v>5</v>
      </c>
      <c r="P270" s="10">
        <f>Table1[[#This Row],[ID ROW]]-((Table1[[#This Row],[SECT]]-1)*12)</f>
        <v>1</v>
      </c>
    </row>
    <row r="271" spans="1:16" ht="15.75" customHeight="1" x14ac:dyDescent="0.3">
      <c r="A271" s="6" t="s">
        <v>984</v>
      </c>
      <c r="B271" s="6" t="s">
        <v>985</v>
      </c>
      <c r="D271" s="6" t="s">
        <v>986</v>
      </c>
      <c r="F271" s="13" t="s">
        <v>983</v>
      </c>
      <c r="G271" s="8">
        <v>270</v>
      </c>
      <c r="H271" s="9" t="s">
        <v>21</v>
      </c>
      <c r="I271" s="9">
        <f t="shared" si="17"/>
        <v>49</v>
      </c>
      <c r="J271" s="9">
        <f t="shared" si="16"/>
        <v>6</v>
      </c>
      <c r="K271" s="10" t="str">
        <f t="shared" si="18"/>
        <v>S1R49B6</v>
      </c>
      <c r="L271" s="10" t="s">
        <v>22</v>
      </c>
      <c r="M271" s="10">
        <f>IF(Table1[[#This Row],[ID ROW]]&lt;=12,Table1[[#This Row],[ID ROW]],Table1[[#This Row],[ID ROW]]+INT((Table1[[#This Row],[ID ROW]]-1)/12)*2)</f>
        <v>57</v>
      </c>
      <c r="N271" s="10" t="str">
        <f t="shared" si="19"/>
        <v>RSR57B6</v>
      </c>
      <c r="O271" s="10">
        <f>IF(Table1[[#This Row],[ID ROW]]&lt;=12,1,INT((Table1[[#This Row],[ID ROW]]-1)/12)+1)</f>
        <v>5</v>
      </c>
      <c r="P271" s="10">
        <f>Table1[[#This Row],[ID ROW]]-((Table1[[#This Row],[SECT]]-1)*12)</f>
        <v>1</v>
      </c>
    </row>
    <row r="272" spans="1:16" ht="15.75" customHeight="1" x14ac:dyDescent="0.25">
      <c r="A272" s="6" t="s">
        <v>987</v>
      </c>
      <c r="B272" s="6" t="s">
        <v>235</v>
      </c>
      <c r="C272" s="6" t="s">
        <v>166</v>
      </c>
      <c r="F272" s="7" t="s">
        <v>988</v>
      </c>
      <c r="G272" s="8">
        <v>271</v>
      </c>
      <c r="H272" s="9" t="s">
        <v>21</v>
      </c>
      <c r="I272" s="9">
        <f t="shared" si="17"/>
        <v>50</v>
      </c>
      <c r="J272" s="9">
        <f t="shared" si="16"/>
        <v>1</v>
      </c>
      <c r="K272" s="10" t="str">
        <f t="shared" si="18"/>
        <v>S1R50B1</v>
      </c>
      <c r="L272" s="10" t="s">
        <v>22</v>
      </c>
      <c r="M272" s="10">
        <f>IF(Table1[[#This Row],[ID ROW]]&lt;=12,Table1[[#This Row],[ID ROW]],Table1[[#This Row],[ID ROW]]+INT((Table1[[#This Row],[ID ROW]]-1)/12)*2)</f>
        <v>58</v>
      </c>
      <c r="N272" s="10" t="str">
        <f t="shared" si="19"/>
        <v>RSR58B1</v>
      </c>
      <c r="O272" s="10">
        <f>IF(Table1[[#This Row],[ID ROW]]&lt;=12,1,INT((Table1[[#This Row],[ID ROW]]-1)/12)+1)</f>
        <v>5</v>
      </c>
      <c r="P272" s="10">
        <f>Table1[[#This Row],[ID ROW]]-((Table1[[#This Row],[SECT]]-1)*12)</f>
        <v>2</v>
      </c>
    </row>
    <row r="273" spans="1:16" ht="15.75" customHeight="1" x14ac:dyDescent="0.3">
      <c r="A273" s="6" t="s">
        <v>989</v>
      </c>
      <c r="F273" s="13" t="s">
        <v>990</v>
      </c>
      <c r="G273" s="8">
        <v>272</v>
      </c>
      <c r="H273" s="9" t="s">
        <v>21</v>
      </c>
      <c r="I273" s="9">
        <f t="shared" si="17"/>
        <v>50</v>
      </c>
      <c r="J273" s="9">
        <f t="shared" si="16"/>
        <v>2</v>
      </c>
      <c r="K273" s="10" t="str">
        <f t="shared" si="18"/>
        <v>S1R50B2</v>
      </c>
      <c r="L273" s="10" t="s">
        <v>22</v>
      </c>
      <c r="M273" s="10">
        <f>IF(Table1[[#This Row],[ID ROW]]&lt;=12,Table1[[#This Row],[ID ROW]],Table1[[#This Row],[ID ROW]]+INT((Table1[[#This Row],[ID ROW]]-1)/12)*2)</f>
        <v>58</v>
      </c>
      <c r="N273" s="10" t="str">
        <f t="shared" si="19"/>
        <v>RSR58B2</v>
      </c>
      <c r="O273" s="10">
        <f>IF(Table1[[#This Row],[ID ROW]]&lt;=12,1,INT((Table1[[#This Row],[ID ROW]]-1)/12)+1)</f>
        <v>5</v>
      </c>
      <c r="P273" s="10">
        <f>Table1[[#This Row],[ID ROW]]-((Table1[[#This Row],[SECT]]-1)*12)</f>
        <v>2</v>
      </c>
    </row>
    <row r="274" spans="1:16" ht="15.75" customHeight="1" x14ac:dyDescent="0.25">
      <c r="A274" s="6" t="s">
        <v>991</v>
      </c>
      <c r="B274" s="6" t="s">
        <v>992</v>
      </c>
      <c r="C274" s="6" t="s">
        <v>993</v>
      </c>
      <c r="F274" s="7" t="s">
        <v>994</v>
      </c>
      <c r="G274" s="8">
        <v>273</v>
      </c>
      <c r="H274" s="9" t="s">
        <v>21</v>
      </c>
      <c r="I274" s="9">
        <f t="shared" si="17"/>
        <v>50</v>
      </c>
      <c r="J274" s="9">
        <f t="shared" si="16"/>
        <v>3</v>
      </c>
      <c r="K274" s="10" t="str">
        <f t="shared" si="18"/>
        <v>S1R50B3</v>
      </c>
      <c r="L274" s="10" t="s">
        <v>22</v>
      </c>
      <c r="M274" s="10">
        <f>IF(Table1[[#This Row],[ID ROW]]&lt;=12,Table1[[#This Row],[ID ROW]],Table1[[#This Row],[ID ROW]]+INT((Table1[[#This Row],[ID ROW]]-1)/12)*2)</f>
        <v>58</v>
      </c>
      <c r="N274" s="10" t="str">
        <f t="shared" si="19"/>
        <v>RSR58B3</v>
      </c>
      <c r="O274" s="10">
        <f>IF(Table1[[#This Row],[ID ROW]]&lt;=12,1,INT((Table1[[#This Row],[ID ROW]]-1)/12)+1)</f>
        <v>5</v>
      </c>
      <c r="P274" s="10">
        <f>Table1[[#This Row],[ID ROW]]-((Table1[[#This Row],[SECT]]-1)*12)</f>
        <v>2</v>
      </c>
    </row>
    <row r="275" spans="1:16" ht="15.75" customHeight="1" x14ac:dyDescent="0.3">
      <c r="A275" s="6" t="s">
        <v>995</v>
      </c>
      <c r="B275" s="6" t="s">
        <v>996</v>
      </c>
      <c r="C275" s="6" t="s">
        <v>143</v>
      </c>
      <c r="D275" s="6" t="s">
        <v>50</v>
      </c>
      <c r="F275" s="13" t="s">
        <v>997</v>
      </c>
      <c r="G275" s="8">
        <v>274</v>
      </c>
      <c r="H275" s="9" t="s">
        <v>21</v>
      </c>
      <c r="I275" s="9">
        <f t="shared" si="17"/>
        <v>50</v>
      </c>
      <c r="J275" s="9">
        <f t="shared" si="16"/>
        <v>4</v>
      </c>
      <c r="K275" s="10" t="str">
        <f t="shared" si="18"/>
        <v>S1R50B4</v>
      </c>
      <c r="L275" s="10" t="s">
        <v>22</v>
      </c>
      <c r="M275" s="10">
        <f>IF(Table1[[#This Row],[ID ROW]]&lt;=12,Table1[[#This Row],[ID ROW]],Table1[[#This Row],[ID ROW]]+INT((Table1[[#This Row],[ID ROW]]-1)/12)*2)</f>
        <v>58</v>
      </c>
      <c r="N275" s="10" t="str">
        <f t="shared" si="19"/>
        <v>RSR58B4</v>
      </c>
      <c r="O275" s="10">
        <f>IF(Table1[[#This Row],[ID ROW]]&lt;=12,1,INT((Table1[[#This Row],[ID ROW]]-1)/12)+1)</f>
        <v>5</v>
      </c>
      <c r="P275" s="10">
        <f>Table1[[#This Row],[ID ROW]]-((Table1[[#This Row],[SECT]]-1)*12)</f>
        <v>2</v>
      </c>
    </row>
    <row r="276" spans="1:16" ht="15.75" customHeight="1" x14ac:dyDescent="0.25">
      <c r="A276" s="6" t="s">
        <v>998</v>
      </c>
      <c r="B276" s="6" t="s">
        <v>999</v>
      </c>
      <c r="C276" s="6" t="s">
        <v>1000</v>
      </c>
      <c r="D276" s="6" t="s">
        <v>1001</v>
      </c>
      <c r="F276" s="7" t="s">
        <v>1002</v>
      </c>
      <c r="G276" s="8">
        <v>275</v>
      </c>
      <c r="H276" s="9" t="s">
        <v>21</v>
      </c>
      <c r="I276" s="9">
        <f t="shared" si="17"/>
        <v>50</v>
      </c>
      <c r="J276" s="9">
        <f t="shared" si="16"/>
        <v>5</v>
      </c>
      <c r="K276" s="10" t="str">
        <f t="shared" si="18"/>
        <v>S1R50B5</v>
      </c>
      <c r="L276" s="10" t="s">
        <v>22</v>
      </c>
      <c r="M276" s="10">
        <f>IF(Table1[[#This Row],[ID ROW]]&lt;=12,Table1[[#This Row],[ID ROW]],Table1[[#This Row],[ID ROW]]+INT((Table1[[#This Row],[ID ROW]]-1)/12)*2)</f>
        <v>58</v>
      </c>
      <c r="N276" s="10" t="str">
        <f t="shared" si="19"/>
        <v>RSR58B5</v>
      </c>
      <c r="O276" s="10">
        <f>IF(Table1[[#This Row],[ID ROW]]&lt;=12,1,INT((Table1[[#This Row],[ID ROW]]-1)/12)+1)</f>
        <v>5</v>
      </c>
      <c r="P276" s="10">
        <f>Table1[[#This Row],[ID ROW]]-((Table1[[#This Row],[SECT]]-1)*12)</f>
        <v>2</v>
      </c>
    </row>
    <row r="277" spans="1:16" ht="15.75" customHeight="1" x14ac:dyDescent="0.3">
      <c r="A277" s="6" t="s">
        <v>1003</v>
      </c>
      <c r="B277" s="6" t="s">
        <v>1004</v>
      </c>
      <c r="C277" s="6" t="s">
        <v>1005</v>
      </c>
      <c r="D277" s="6" t="s">
        <v>1006</v>
      </c>
      <c r="F277" s="13" t="s">
        <v>1007</v>
      </c>
      <c r="G277" s="8">
        <v>276</v>
      </c>
      <c r="H277" s="9" t="s">
        <v>21</v>
      </c>
      <c r="I277" s="9">
        <f t="shared" si="17"/>
        <v>51</v>
      </c>
      <c r="J277" s="9">
        <f t="shared" si="16"/>
        <v>1</v>
      </c>
      <c r="K277" s="10" t="str">
        <f t="shared" si="18"/>
        <v>S1R51B1</v>
      </c>
      <c r="L277" s="10" t="s">
        <v>22</v>
      </c>
      <c r="M277" s="10">
        <f>IF(Table1[[#This Row],[ID ROW]]&lt;=12,Table1[[#This Row],[ID ROW]],Table1[[#This Row],[ID ROW]]+INT((Table1[[#This Row],[ID ROW]]-1)/12)*2)</f>
        <v>59</v>
      </c>
      <c r="N277" s="10" t="str">
        <f t="shared" si="19"/>
        <v>RSR59B1</v>
      </c>
      <c r="O277" s="10">
        <f>IF(Table1[[#This Row],[ID ROW]]&lt;=12,1,INT((Table1[[#This Row],[ID ROW]]-1)/12)+1)</f>
        <v>5</v>
      </c>
      <c r="P277" s="10">
        <f>Table1[[#This Row],[ID ROW]]-((Table1[[#This Row],[SECT]]-1)*12)</f>
        <v>3</v>
      </c>
    </row>
    <row r="278" spans="1:16" ht="15.75" customHeight="1" x14ac:dyDescent="0.25">
      <c r="A278" s="6" t="s">
        <v>1008</v>
      </c>
      <c r="B278" s="6" t="s">
        <v>1009</v>
      </c>
      <c r="C278" s="6" t="s">
        <v>1010</v>
      </c>
      <c r="F278" s="7" t="s">
        <v>1011</v>
      </c>
      <c r="G278" s="8">
        <v>277</v>
      </c>
      <c r="H278" s="9" t="s">
        <v>21</v>
      </c>
      <c r="I278" s="9">
        <f t="shared" si="17"/>
        <v>51</v>
      </c>
      <c r="J278" s="9">
        <f t="shared" si="16"/>
        <v>2</v>
      </c>
      <c r="K278" s="10" t="str">
        <f t="shared" si="18"/>
        <v>S1R51B2</v>
      </c>
      <c r="L278" s="10" t="s">
        <v>22</v>
      </c>
      <c r="M278" s="10">
        <f>IF(Table1[[#This Row],[ID ROW]]&lt;=12,Table1[[#This Row],[ID ROW]],Table1[[#This Row],[ID ROW]]+INT((Table1[[#This Row],[ID ROW]]-1)/12)*2)</f>
        <v>59</v>
      </c>
      <c r="N278" s="10" t="str">
        <f t="shared" si="19"/>
        <v>RSR59B2</v>
      </c>
      <c r="O278" s="10">
        <f>IF(Table1[[#This Row],[ID ROW]]&lt;=12,1,INT((Table1[[#This Row],[ID ROW]]-1)/12)+1)</f>
        <v>5</v>
      </c>
      <c r="P278" s="10">
        <f>Table1[[#This Row],[ID ROW]]-((Table1[[#This Row],[SECT]]-1)*12)</f>
        <v>3</v>
      </c>
    </row>
    <row r="279" spans="1:16" ht="15.75" customHeight="1" x14ac:dyDescent="0.3">
      <c r="A279" s="6" t="s">
        <v>1012</v>
      </c>
      <c r="B279" s="6" t="s">
        <v>1013</v>
      </c>
      <c r="C279" s="6" t="s">
        <v>1014</v>
      </c>
      <c r="D279" s="6" t="s">
        <v>1015</v>
      </c>
      <c r="F279" s="13" t="s">
        <v>1016</v>
      </c>
      <c r="G279" s="8">
        <v>278</v>
      </c>
      <c r="H279" s="9" t="s">
        <v>21</v>
      </c>
      <c r="I279" s="9">
        <f t="shared" si="17"/>
        <v>51</v>
      </c>
      <c r="J279" s="9">
        <f t="shared" si="16"/>
        <v>3</v>
      </c>
      <c r="K279" s="10" t="str">
        <f t="shared" si="18"/>
        <v>S1R51B3</v>
      </c>
      <c r="L279" s="10" t="s">
        <v>22</v>
      </c>
      <c r="M279" s="10">
        <f>IF(Table1[[#This Row],[ID ROW]]&lt;=12,Table1[[#This Row],[ID ROW]],Table1[[#This Row],[ID ROW]]+INT((Table1[[#This Row],[ID ROW]]-1)/12)*2)</f>
        <v>59</v>
      </c>
      <c r="N279" s="10" t="str">
        <f t="shared" si="19"/>
        <v>RSR59B3</v>
      </c>
      <c r="O279" s="10">
        <f>IF(Table1[[#This Row],[ID ROW]]&lt;=12,1,INT((Table1[[#This Row],[ID ROW]]-1)/12)+1)</f>
        <v>5</v>
      </c>
      <c r="P279" s="10">
        <f>Table1[[#This Row],[ID ROW]]-((Table1[[#This Row],[SECT]]-1)*12)</f>
        <v>3</v>
      </c>
    </row>
    <row r="280" spans="1:16" ht="15.75" customHeight="1" x14ac:dyDescent="0.25">
      <c r="A280" s="6" t="s">
        <v>1017</v>
      </c>
      <c r="B280" s="6" t="s">
        <v>1018</v>
      </c>
      <c r="C280" s="6" t="s">
        <v>1019</v>
      </c>
      <c r="F280" s="7" t="s">
        <v>1020</v>
      </c>
      <c r="G280" s="8">
        <v>279</v>
      </c>
      <c r="H280" s="9" t="s">
        <v>21</v>
      </c>
      <c r="I280" s="9">
        <f t="shared" si="17"/>
        <v>51</v>
      </c>
      <c r="J280" s="9">
        <f t="shared" si="16"/>
        <v>4</v>
      </c>
      <c r="K280" s="10" t="str">
        <f t="shared" si="18"/>
        <v>S1R51B4</v>
      </c>
      <c r="L280" s="10" t="s">
        <v>22</v>
      </c>
      <c r="M280" s="10">
        <f>IF(Table1[[#This Row],[ID ROW]]&lt;=12,Table1[[#This Row],[ID ROW]],Table1[[#This Row],[ID ROW]]+INT((Table1[[#This Row],[ID ROW]]-1)/12)*2)</f>
        <v>59</v>
      </c>
      <c r="N280" s="10" t="str">
        <f t="shared" si="19"/>
        <v>RSR59B4</v>
      </c>
      <c r="O280" s="10">
        <f>IF(Table1[[#This Row],[ID ROW]]&lt;=12,1,INT((Table1[[#This Row],[ID ROW]]-1)/12)+1)</f>
        <v>5</v>
      </c>
      <c r="P280" s="10">
        <f>Table1[[#This Row],[ID ROW]]-((Table1[[#This Row],[SECT]]-1)*12)</f>
        <v>3</v>
      </c>
    </row>
    <row r="281" spans="1:16" ht="15.75" customHeight="1" x14ac:dyDescent="0.3">
      <c r="A281" s="6" t="s">
        <v>1021</v>
      </c>
      <c r="B281" s="6" t="s">
        <v>1022</v>
      </c>
      <c r="C281" s="6" t="s">
        <v>1023</v>
      </c>
      <c r="D281" s="6" t="s">
        <v>1024</v>
      </c>
      <c r="F281" s="13" t="s">
        <v>1025</v>
      </c>
      <c r="G281" s="8">
        <v>280</v>
      </c>
      <c r="H281" s="9" t="s">
        <v>21</v>
      </c>
      <c r="I281" s="9">
        <f t="shared" si="17"/>
        <v>51</v>
      </c>
      <c r="J281" s="9">
        <f t="shared" si="16"/>
        <v>5</v>
      </c>
      <c r="K281" s="10" t="str">
        <f t="shared" si="18"/>
        <v>S1R51B5</v>
      </c>
      <c r="L281" s="10" t="s">
        <v>22</v>
      </c>
      <c r="M281" s="10">
        <f>IF(Table1[[#This Row],[ID ROW]]&lt;=12,Table1[[#This Row],[ID ROW]],Table1[[#This Row],[ID ROW]]+INT((Table1[[#This Row],[ID ROW]]-1)/12)*2)</f>
        <v>59</v>
      </c>
      <c r="N281" s="10" t="str">
        <f t="shared" si="19"/>
        <v>RSR59B5</v>
      </c>
      <c r="O281" s="10">
        <f>IF(Table1[[#This Row],[ID ROW]]&lt;=12,1,INT((Table1[[#This Row],[ID ROW]]-1)/12)+1)</f>
        <v>5</v>
      </c>
      <c r="P281" s="10">
        <f>Table1[[#This Row],[ID ROW]]-((Table1[[#This Row],[SECT]]-1)*12)</f>
        <v>3</v>
      </c>
    </row>
    <row r="282" spans="1:16" ht="15.75" customHeight="1" x14ac:dyDescent="0.25">
      <c r="A282" s="6" t="s">
        <v>1026</v>
      </c>
      <c r="B282" s="6" t="s">
        <v>1027</v>
      </c>
      <c r="C282" s="6" t="s">
        <v>1028</v>
      </c>
      <c r="F282" s="7" t="s">
        <v>1029</v>
      </c>
      <c r="G282" s="8">
        <v>281</v>
      </c>
      <c r="H282" s="9" t="s">
        <v>21</v>
      </c>
      <c r="I282" s="9">
        <f t="shared" si="17"/>
        <v>51</v>
      </c>
      <c r="J282" s="9">
        <f t="shared" si="16"/>
        <v>6</v>
      </c>
      <c r="K282" s="10" t="str">
        <f t="shared" si="18"/>
        <v>S1R51B6</v>
      </c>
      <c r="L282" s="10" t="s">
        <v>22</v>
      </c>
      <c r="M282" s="10">
        <f>IF(Table1[[#This Row],[ID ROW]]&lt;=12,Table1[[#This Row],[ID ROW]],Table1[[#This Row],[ID ROW]]+INT((Table1[[#This Row],[ID ROW]]-1)/12)*2)</f>
        <v>59</v>
      </c>
      <c r="N282" s="10" t="str">
        <f t="shared" si="19"/>
        <v>RSR59B6</v>
      </c>
      <c r="O282" s="10">
        <f>IF(Table1[[#This Row],[ID ROW]]&lt;=12,1,INT((Table1[[#This Row],[ID ROW]]-1)/12)+1)</f>
        <v>5</v>
      </c>
      <c r="P282" s="10">
        <f>Table1[[#This Row],[ID ROW]]-((Table1[[#This Row],[SECT]]-1)*12)</f>
        <v>3</v>
      </c>
    </row>
    <row r="283" spans="1:16" ht="15.75" customHeight="1" x14ac:dyDescent="0.3">
      <c r="A283" s="6" t="s">
        <v>1030</v>
      </c>
      <c r="B283" s="6" t="s">
        <v>1031</v>
      </c>
      <c r="C283" s="6" t="s">
        <v>886</v>
      </c>
      <c r="D283" s="6" t="s">
        <v>67</v>
      </c>
      <c r="F283" s="13" t="s">
        <v>1032</v>
      </c>
      <c r="G283" s="8">
        <v>282</v>
      </c>
      <c r="H283" s="9" t="s">
        <v>21</v>
      </c>
      <c r="I283" s="9">
        <f t="shared" si="17"/>
        <v>52</v>
      </c>
      <c r="J283" s="9">
        <f t="shared" si="16"/>
        <v>1</v>
      </c>
      <c r="K283" s="10" t="str">
        <f t="shared" si="18"/>
        <v>S1R52B1</v>
      </c>
      <c r="L283" s="10" t="s">
        <v>22</v>
      </c>
      <c r="M283" s="10">
        <f>IF(Table1[[#This Row],[ID ROW]]&lt;=12,Table1[[#This Row],[ID ROW]],Table1[[#This Row],[ID ROW]]+INT((Table1[[#This Row],[ID ROW]]-1)/12)*2)</f>
        <v>60</v>
      </c>
      <c r="N283" s="10" t="str">
        <f t="shared" si="19"/>
        <v>RSR60B1</v>
      </c>
      <c r="O283" s="10">
        <f>IF(Table1[[#This Row],[ID ROW]]&lt;=12,1,INT((Table1[[#This Row],[ID ROW]]-1)/12)+1)</f>
        <v>5</v>
      </c>
      <c r="P283" s="10">
        <f>Table1[[#This Row],[ID ROW]]-((Table1[[#This Row],[SECT]]-1)*12)</f>
        <v>4</v>
      </c>
    </row>
    <row r="284" spans="1:16" ht="15.75" customHeight="1" x14ac:dyDescent="0.25">
      <c r="A284" s="6" t="s">
        <v>1033</v>
      </c>
      <c r="B284" s="6" t="s">
        <v>1034</v>
      </c>
      <c r="C284" s="6" t="s">
        <v>1035</v>
      </c>
      <c r="D284" s="6" t="s">
        <v>1036</v>
      </c>
      <c r="F284" s="7" t="s">
        <v>1037</v>
      </c>
      <c r="G284" s="8">
        <v>283</v>
      </c>
      <c r="H284" s="9" t="s">
        <v>21</v>
      </c>
      <c r="I284" s="9">
        <f t="shared" si="17"/>
        <v>52</v>
      </c>
      <c r="J284" s="9">
        <f t="shared" si="16"/>
        <v>2</v>
      </c>
      <c r="K284" s="10" t="str">
        <f t="shared" si="18"/>
        <v>S1R52B2</v>
      </c>
      <c r="L284" s="10" t="s">
        <v>22</v>
      </c>
      <c r="M284" s="10">
        <f>IF(Table1[[#This Row],[ID ROW]]&lt;=12,Table1[[#This Row],[ID ROW]],Table1[[#This Row],[ID ROW]]+INT((Table1[[#This Row],[ID ROW]]-1)/12)*2)</f>
        <v>60</v>
      </c>
      <c r="N284" s="10" t="str">
        <f t="shared" si="19"/>
        <v>RSR60B2</v>
      </c>
      <c r="O284" s="10">
        <f>IF(Table1[[#This Row],[ID ROW]]&lt;=12,1,INT((Table1[[#This Row],[ID ROW]]-1)/12)+1)</f>
        <v>5</v>
      </c>
      <c r="P284" s="10">
        <f>Table1[[#This Row],[ID ROW]]-((Table1[[#This Row],[SECT]]-1)*12)</f>
        <v>4</v>
      </c>
    </row>
    <row r="285" spans="1:16" ht="15.75" customHeight="1" x14ac:dyDescent="0.3">
      <c r="A285" s="6" t="s">
        <v>1038</v>
      </c>
      <c r="B285" s="6" t="s">
        <v>1039</v>
      </c>
      <c r="C285" s="6" t="s">
        <v>1040</v>
      </c>
      <c r="D285" s="6" t="s">
        <v>19</v>
      </c>
      <c r="F285" s="13" t="s">
        <v>1037</v>
      </c>
      <c r="G285" s="8">
        <v>284</v>
      </c>
      <c r="H285" s="9" t="s">
        <v>21</v>
      </c>
      <c r="I285" s="9">
        <f t="shared" si="17"/>
        <v>52</v>
      </c>
      <c r="J285" s="9">
        <f t="shared" si="16"/>
        <v>3</v>
      </c>
      <c r="K285" s="10" t="str">
        <f t="shared" si="18"/>
        <v>S1R52B3</v>
      </c>
      <c r="L285" s="10" t="s">
        <v>22</v>
      </c>
      <c r="M285" s="10">
        <f>IF(Table1[[#This Row],[ID ROW]]&lt;=12,Table1[[#This Row],[ID ROW]],Table1[[#This Row],[ID ROW]]+INT((Table1[[#This Row],[ID ROW]]-1)/12)*2)</f>
        <v>60</v>
      </c>
      <c r="N285" s="10" t="str">
        <f t="shared" si="19"/>
        <v>RSR60B3</v>
      </c>
      <c r="O285" s="10">
        <f>IF(Table1[[#This Row],[ID ROW]]&lt;=12,1,INT((Table1[[#This Row],[ID ROW]]-1)/12)+1)</f>
        <v>5</v>
      </c>
      <c r="P285" s="10">
        <f>Table1[[#This Row],[ID ROW]]-((Table1[[#This Row],[SECT]]-1)*12)</f>
        <v>4</v>
      </c>
    </row>
    <row r="286" spans="1:16" ht="15.75" customHeight="1" x14ac:dyDescent="0.25">
      <c r="A286" s="6" t="s">
        <v>1041</v>
      </c>
      <c r="B286" s="6" t="s">
        <v>1042</v>
      </c>
      <c r="C286" s="6" t="s">
        <v>1043</v>
      </c>
      <c r="F286" s="7" t="s">
        <v>1044</v>
      </c>
      <c r="G286" s="8">
        <v>285</v>
      </c>
      <c r="H286" s="9" t="s">
        <v>21</v>
      </c>
      <c r="I286" s="9">
        <f t="shared" si="17"/>
        <v>52</v>
      </c>
      <c r="J286" s="9">
        <f t="shared" si="16"/>
        <v>4</v>
      </c>
      <c r="K286" s="10" t="str">
        <f t="shared" si="18"/>
        <v>S1R52B4</v>
      </c>
      <c r="L286" s="10" t="s">
        <v>22</v>
      </c>
      <c r="M286" s="10">
        <f>IF(Table1[[#This Row],[ID ROW]]&lt;=12,Table1[[#This Row],[ID ROW]],Table1[[#This Row],[ID ROW]]+INT((Table1[[#This Row],[ID ROW]]-1)/12)*2)</f>
        <v>60</v>
      </c>
      <c r="N286" s="10" t="str">
        <f t="shared" si="19"/>
        <v>RSR60B4</v>
      </c>
      <c r="O286" s="10">
        <f>IF(Table1[[#This Row],[ID ROW]]&lt;=12,1,INT((Table1[[#This Row],[ID ROW]]-1)/12)+1)</f>
        <v>5</v>
      </c>
      <c r="P286" s="10">
        <f>Table1[[#This Row],[ID ROW]]-((Table1[[#This Row],[SECT]]-1)*12)</f>
        <v>4</v>
      </c>
    </row>
    <row r="287" spans="1:16" ht="15.75" customHeight="1" x14ac:dyDescent="0.3">
      <c r="A287" s="6" t="s">
        <v>1045</v>
      </c>
      <c r="B287" s="6" t="s">
        <v>1046</v>
      </c>
      <c r="C287" s="6" t="s">
        <v>1047</v>
      </c>
      <c r="F287" s="13" t="s">
        <v>1048</v>
      </c>
      <c r="G287" s="8">
        <v>286</v>
      </c>
      <c r="H287" s="9" t="s">
        <v>21</v>
      </c>
      <c r="I287" s="9">
        <f t="shared" si="17"/>
        <v>52</v>
      </c>
      <c r="J287" s="9">
        <f t="shared" si="16"/>
        <v>5</v>
      </c>
      <c r="K287" s="10" t="str">
        <f t="shared" si="18"/>
        <v>S1R52B5</v>
      </c>
      <c r="L287" s="10" t="s">
        <v>22</v>
      </c>
      <c r="M287" s="10">
        <f>IF(Table1[[#This Row],[ID ROW]]&lt;=12,Table1[[#This Row],[ID ROW]],Table1[[#This Row],[ID ROW]]+INT((Table1[[#This Row],[ID ROW]]-1)/12)*2)</f>
        <v>60</v>
      </c>
      <c r="N287" s="10" t="str">
        <f t="shared" si="19"/>
        <v>RSR60B5</v>
      </c>
      <c r="O287" s="10">
        <f>IF(Table1[[#This Row],[ID ROW]]&lt;=12,1,INT((Table1[[#This Row],[ID ROW]]-1)/12)+1)</f>
        <v>5</v>
      </c>
      <c r="P287" s="10">
        <f>Table1[[#This Row],[ID ROW]]-((Table1[[#This Row],[SECT]]-1)*12)</f>
        <v>4</v>
      </c>
    </row>
    <row r="288" spans="1:16" ht="15.75" customHeight="1" x14ac:dyDescent="0.25">
      <c r="A288" s="6" t="s">
        <v>1049</v>
      </c>
      <c r="B288" s="6" t="s">
        <v>1050</v>
      </c>
      <c r="C288" s="6" t="s">
        <v>1051</v>
      </c>
      <c r="F288" s="7" t="s">
        <v>1052</v>
      </c>
      <c r="G288" s="8">
        <v>287</v>
      </c>
      <c r="H288" s="9" t="s">
        <v>21</v>
      </c>
      <c r="I288" s="9">
        <f t="shared" si="17"/>
        <v>53</v>
      </c>
      <c r="J288" s="9">
        <f t="shared" si="16"/>
        <v>1</v>
      </c>
      <c r="K288" s="10" t="str">
        <f t="shared" si="18"/>
        <v>S1R53B1</v>
      </c>
      <c r="L288" s="10" t="s">
        <v>22</v>
      </c>
      <c r="M288" s="10">
        <f>IF(Table1[[#This Row],[ID ROW]]&lt;=12,Table1[[#This Row],[ID ROW]],Table1[[#This Row],[ID ROW]]+INT((Table1[[#This Row],[ID ROW]]-1)/12)*2)</f>
        <v>61</v>
      </c>
      <c r="N288" s="10" t="str">
        <f t="shared" si="19"/>
        <v>RSR61B1</v>
      </c>
      <c r="O288" s="10">
        <f>IF(Table1[[#This Row],[ID ROW]]&lt;=12,1,INT((Table1[[#This Row],[ID ROW]]-1)/12)+1)</f>
        <v>5</v>
      </c>
      <c r="P288" s="10">
        <f>Table1[[#This Row],[ID ROW]]-((Table1[[#This Row],[SECT]]-1)*12)</f>
        <v>5</v>
      </c>
    </row>
    <row r="289" spans="1:16" ht="15.75" customHeight="1" x14ac:dyDescent="0.3">
      <c r="A289" s="6" t="s">
        <v>1053</v>
      </c>
      <c r="B289" s="6" t="s">
        <v>1054</v>
      </c>
      <c r="C289" s="6" t="s">
        <v>1055</v>
      </c>
      <c r="F289" s="13" t="s">
        <v>1052</v>
      </c>
      <c r="G289" s="8">
        <v>288</v>
      </c>
      <c r="H289" s="9" t="s">
        <v>21</v>
      </c>
      <c r="I289" s="9">
        <f t="shared" si="17"/>
        <v>53</v>
      </c>
      <c r="J289" s="9">
        <f t="shared" si="16"/>
        <v>2</v>
      </c>
      <c r="K289" s="10" t="str">
        <f t="shared" si="18"/>
        <v>S1R53B2</v>
      </c>
      <c r="L289" s="10" t="s">
        <v>22</v>
      </c>
      <c r="M289" s="10">
        <f>IF(Table1[[#This Row],[ID ROW]]&lt;=12,Table1[[#This Row],[ID ROW]],Table1[[#This Row],[ID ROW]]+INT((Table1[[#This Row],[ID ROW]]-1)/12)*2)</f>
        <v>61</v>
      </c>
      <c r="N289" s="10" t="str">
        <f t="shared" si="19"/>
        <v>RSR61B2</v>
      </c>
      <c r="O289" s="10">
        <f>IF(Table1[[#This Row],[ID ROW]]&lt;=12,1,INT((Table1[[#This Row],[ID ROW]]-1)/12)+1)</f>
        <v>5</v>
      </c>
      <c r="P289" s="10">
        <f>Table1[[#This Row],[ID ROW]]-((Table1[[#This Row],[SECT]]-1)*12)</f>
        <v>5</v>
      </c>
    </row>
    <row r="290" spans="1:16" ht="15.75" customHeight="1" x14ac:dyDescent="0.25">
      <c r="A290" s="6" t="s">
        <v>1056</v>
      </c>
      <c r="B290" s="6" t="s">
        <v>1057</v>
      </c>
      <c r="C290" s="6" t="s">
        <v>136</v>
      </c>
      <c r="F290" s="7" t="s">
        <v>1058</v>
      </c>
      <c r="G290" s="8">
        <v>289</v>
      </c>
      <c r="H290" s="9" t="s">
        <v>21</v>
      </c>
      <c r="I290" s="9">
        <f t="shared" si="17"/>
        <v>53</v>
      </c>
      <c r="J290" s="9">
        <f t="shared" si="16"/>
        <v>3</v>
      </c>
      <c r="K290" s="10" t="str">
        <f t="shared" si="18"/>
        <v>S1R53B3</v>
      </c>
      <c r="L290" s="10" t="s">
        <v>22</v>
      </c>
      <c r="M290" s="10">
        <f>IF(Table1[[#This Row],[ID ROW]]&lt;=12,Table1[[#This Row],[ID ROW]],Table1[[#This Row],[ID ROW]]+INT((Table1[[#This Row],[ID ROW]]-1)/12)*2)</f>
        <v>61</v>
      </c>
      <c r="N290" s="10" t="str">
        <f t="shared" si="19"/>
        <v>RSR61B3</v>
      </c>
      <c r="O290" s="10">
        <f>IF(Table1[[#This Row],[ID ROW]]&lt;=12,1,INT((Table1[[#This Row],[ID ROW]]-1)/12)+1)</f>
        <v>5</v>
      </c>
      <c r="P290" s="10">
        <f>Table1[[#This Row],[ID ROW]]-((Table1[[#This Row],[SECT]]-1)*12)</f>
        <v>5</v>
      </c>
    </row>
    <row r="291" spans="1:16" ht="15.75" customHeight="1" x14ac:dyDescent="0.3">
      <c r="A291" s="6" t="s">
        <v>1059</v>
      </c>
      <c r="B291" s="6" t="s">
        <v>1060</v>
      </c>
      <c r="C291" s="6" t="s">
        <v>1061</v>
      </c>
      <c r="D291" s="6" t="s">
        <v>1062</v>
      </c>
      <c r="F291" s="13" t="s">
        <v>1063</v>
      </c>
      <c r="G291" s="8">
        <v>290</v>
      </c>
      <c r="H291" s="9" t="s">
        <v>21</v>
      </c>
      <c r="I291" s="9">
        <f t="shared" si="17"/>
        <v>53</v>
      </c>
      <c r="J291" s="9">
        <f t="shared" si="16"/>
        <v>4</v>
      </c>
      <c r="K291" s="10" t="str">
        <f t="shared" si="18"/>
        <v>S1R53B4</v>
      </c>
      <c r="L291" s="10" t="s">
        <v>22</v>
      </c>
      <c r="M291" s="10">
        <f>IF(Table1[[#This Row],[ID ROW]]&lt;=12,Table1[[#This Row],[ID ROW]],Table1[[#This Row],[ID ROW]]+INT((Table1[[#This Row],[ID ROW]]-1)/12)*2)</f>
        <v>61</v>
      </c>
      <c r="N291" s="10" t="str">
        <f t="shared" si="19"/>
        <v>RSR61B4</v>
      </c>
      <c r="O291" s="10">
        <f>IF(Table1[[#This Row],[ID ROW]]&lt;=12,1,INT((Table1[[#This Row],[ID ROW]]-1)/12)+1)</f>
        <v>5</v>
      </c>
      <c r="P291" s="10">
        <f>Table1[[#This Row],[ID ROW]]-((Table1[[#This Row],[SECT]]-1)*12)</f>
        <v>5</v>
      </c>
    </row>
    <row r="292" spans="1:16" ht="15.75" customHeight="1" x14ac:dyDescent="0.25">
      <c r="A292" s="6" t="s">
        <v>1064</v>
      </c>
      <c r="B292" s="6" t="s">
        <v>1065</v>
      </c>
      <c r="C292" s="6" t="s">
        <v>1066</v>
      </c>
      <c r="F292" s="7" t="s">
        <v>1067</v>
      </c>
      <c r="G292" s="8">
        <v>291</v>
      </c>
      <c r="H292" s="9" t="s">
        <v>21</v>
      </c>
      <c r="I292" s="9">
        <f t="shared" si="17"/>
        <v>53</v>
      </c>
      <c r="J292" s="9">
        <f t="shared" si="16"/>
        <v>5</v>
      </c>
      <c r="K292" s="10" t="str">
        <f t="shared" si="18"/>
        <v>S1R53B5</v>
      </c>
      <c r="L292" s="10" t="s">
        <v>22</v>
      </c>
      <c r="M292" s="10">
        <f>IF(Table1[[#This Row],[ID ROW]]&lt;=12,Table1[[#This Row],[ID ROW]],Table1[[#This Row],[ID ROW]]+INT((Table1[[#This Row],[ID ROW]]-1)/12)*2)</f>
        <v>61</v>
      </c>
      <c r="N292" s="10" t="str">
        <f t="shared" si="19"/>
        <v>RSR61B5</v>
      </c>
      <c r="O292" s="10">
        <f>IF(Table1[[#This Row],[ID ROW]]&lt;=12,1,INT((Table1[[#This Row],[ID ROW]]-1)/12)+1)</f>
        <v>5</v>
      </c>
      <c r="P292" s="10">
        <f>Table1[[#This Row],[ID ROW]]-((Table1[[#This Row],[SECT]]-1)*12)</f>
        <v>5</v>
      </c>
    </row>
    <row r="293" spans="1:16" ht="15.75" customHeight="1" x14ac:dyDescent="0.3">
      <c r="A293" s="6" t="s">
        <v>1068</v>
      </c>
      <c r="B293" s="6" t="s">
        <v>1069</v>
      </c>
      <c r="C293" s="6" t="s">
        <v>1070</v>
      </c>
      <c r="F293" s="13" t="s">
        <v>1071</v>
      </c>
      <c r="G293" s="8">
        <v>292</v>
      </c>
      <c r="H293" s="9" t="s">
        <v>21</v>
      </c>
      <c r="I293" s="9">
        <f t="shared" si="17"/>
        <v>53</v>
      </c>
      <c r="J293" s="9">
        <f t="shared" si="16"/>
        <v>6</v>
      </c>
      <c r="K293" s="10" t="str">
        <f t="shared" si="18"/>
        <v>S1R53B6</v>
      </c>
      <c r="L293" s="10" t="s">
        <v>22</v>
      </c>
      <c r="M293" s="10">
        <f>IF(Table1[[#This Row],[ID ROW]]&lt;=12,Table1[[#This Row],[ID ROW]],Table1[[#This Row],[ID ROW]]+INT((Table1[[#This Row],[ID ROW]]-1)/12)*2)</f>
        <v>61</v>
      </c>
      <c r="N293" s="10" t="str">
        <f t="shared" si="19"/>
        <v>RSR61B6</v>
      </c>
      <c r="O293" s="10">
        <f>IF(Table1[[#This Row],[ID ROW]]&lt;=12,1,INT((Table1[[#This Row],[ID ROW]]-1)/12)+1)</f>
        <v>5</v>
      </c>
      <c r="P293" s="10">
        <f>Table1[[#This Row],[ID ROW]]-((Table1[[#This Row],[SECT]]-1)*12)</f>
        <v>5</v>
      </c>
    </row>
    <row r="294" spans="1:16" ht="15.75" customHeight="1" x14ac:dyDescent="0.25">
      <c r="A294" s="6" t="s">
        <v>1072</v>
      </c>
      <c r="B294" s="6" t="s">
        <v>1073</v>
      </c>
      <c r="C294" s="6" t="s">
        <v>1074</v>
      </c>
      <c r="D294" s="6" t="s">
        <v>117</v>
      </c>
      <c r="F294" s="7" t="s">
        <v>1075</v>
      </c>
      <c r="G294" s="8">
        <v>293</v>
      </c>
      <c r="H294" s="9" t="s">
        <v>21</v>
      </c>
      <c r="I294" s="9">
        <f t="shared" si="17"/>
        <v>54</v>
      </c>
      <c r="J294" s="9">
        <f t="shared" si="16"/>
        <v>1</v>
      </c>
      <c r="K294" s="10" t="str">
        <f t="shared" si="18"/>
        <v>S1R54B1</v>
      </c>
      <c r="L294" s="10" t="s">
        <v>22</v>
      </c>
      <c r="M294" s="10">
        <f>IF(Table1[[#This Row],[ID ROW]]&lt;=12,Table1[[#This Row],[ID ROW]],Table1[[#This Row],[ID ROW]]+INT((Table1[[#This Row],[ID ROW]]-1)/12)*2)</f>
        <v>62</v>
      </c>
      <c r="N294" s="10" t="str">
        <f t="shared" si="19"/>
        <v>RSR62B1</v>
      </c>
      <c r="O294" s="10">
        <f>IF(Table1[[#This Row],[ID ROW]]&lt;=12,1,INT((Table1[[#This Row],[ID ROW]]-1)/12)+1)</f>
        <v>5</v>
      </c>
      <c r="P294" s="10">
        <f>Table1[[#This Row],[ID ROW]]-((Table1[[#This Row],[SECT]]-1)*12)</f>
        <v>6</v>
      </c>
    </row>
    <row r="295" spans="1:16" ht="15.75" customHeight="1" x14ac:dyDescent="0.3">
      <c r="A295" s="6" t="s">
        <v>1076</v>
      </c>
      <c r="B295" s="6" t="s">
        <v>1077</v>
      </c>
      <c r="C295" s="6" t="s">
        <v>1074</v>
      </c>
      <c r="D295" s="6" t="s">
        <v>117</v>
      </c>
      <c r="F295" s="13" t="s">
        <v>1075</v>
      </c>
      <c r="G295" s="8">
        <v>294</v>
      </c>
      <c r="H295" s="9" t="s">
        <v>21</v>
      </c>
      <c r="I295" s="9">
        <f t="shared" si="17"/>
        <v>54</v>
      </c>
      <c r="J295" s="9">
        <f t="shared" si="16"/>
        <v>2</v>
      </c>
      <c r="K295" s="10" t="str">
        <f t="shared" si="18"/>
        <v>S1R54B2</v>
      </c>
      <c r="L295" s="10" t="s">
        <v>22</v>
      </c>
      <c r="M295" s="10">
        <f>IF(Table1[[#This Row],[ID ROW]]&lt;=12,Table1[[#This Row],[ID ROW]],Table1[[#This Row],[ID ROW]]+INT((Table1[[#This Row],[ID ROW]]-1)/12)*2)</f>
        <v>62</v>
      </c>
      <c r="N295" s="10" t="str">
        <f t="shared" si="19"/>
        <v>RSR62B2</v>
      </c>
      <c r="O295" s="10">
        <f>IF(Table1[[#This Row],[ID ROW]]&lt;=12,1,INT((Table1[[#This Row],[ID ROW]]-1)/12)+1)</f>
        <v>5</v>
      </c>
      <c r="P295" s="10">
        <f>Table1[[#This Row],[ID ROW]]-((Table1[[#This Row],[SECT]]-1)*12)</f>
        <v>6</v>
      </c>
    </row>
    <row r="296" spans="1:16" ht="15.75" customHeight="1" x14ac:dyDescent="0.25">
      <c r="A296" s="6" t="s">
        <v>1078</v>
      </c>
      <c r="B296" s="6" t="s">
        <v>1079</v>
      </c>
      <c r="C296" s="6" t="s">
        <v>1080</v>
      </c>
      <c r="F296" s="7" t="s">
        <v>1075</v>
      </c>
      <c r="G296" s="8">
        <v>295</v>
      </c>
      <c r="H296" s="9" t="s">
        <v>21</v>
      </c>
      <c r="I296" s="9">
        <f t="shared" si="17"/>
        <v>54</v>
      </c>
      <c r="J296" s="9">
        <f t="shared" si="16"/>
        <v>3</v>
      </c>
      <c r="K296" s="10" t="str">
        <f t="shared" si="18"/>
        <v>S1R54B3</v>
      </c>
      <c r="L296" s="10" t="s">
        <v>22</v>
      </c>
      <c r="M296" s="10">
        <f>IF(Table1[[#This Row],[ID ROW]]&lt;=12,Table1[[#This Row],[ID ROW]],Table1[[#This Row],[ID ROW]]+INT((Table1[[#This Row],[ID ROW]]-1)/12)*2)</f>
        <v>62</v>
      </c>
      <c r="N296" s="10" t="str">
        <f t="shared" si="19"/>
        <v>RSR62B3</v>
      </c>
      <c r="O296" s="10">
        <f>IF(Table1[[#This Row],[ID ROW]]&lt;=12,1,INT((Table1[[#This Row],[ID ROW]]-1)/12)+1)</f>
        <v>5</v>
      </c>
      <c r="P296" s="10">
        <f>Table1[[#This Row],[ID ROW]]-((Table1[[#This Row],[SECT]]-1)*12)</f>
        <v>6</v>
      </c>
    </row>
    <row r="297" spans="1:16" ht="15.75" customHeight="1" x14ac:dyDescent="0.3">
      <c r="A297" s="6" t="s">
        <v>1081</v>
      </c>
      <c r="B297" s="6" t="s">
        <v>1082</v>
      </c>
      <c r="C297" s="6" t="s">
        <v>1080</v>
      </c>
      <c r="F297" s="13" t="s">
        <v>1075</v>
      </c>
      <c r="G297" s="8">
        <v>296</v>
      </c>
      <c r="H297" s="9" t="s">
        <v>21</v>
      </c>
      <c r="I297" s="9">
        <f t="shared" si="17"/>
        <v>54</v>
      </c>
      <c r="J297" s="9">
        <f t="shared" si="16"/>
        <v>4</v>
      </c>
      <c r="K297" s="10" t="str">
        <f t="shared" si="18"/>
        <v>S1R54B4</v>
      </c>
      <c r="L297" s="10" t="s">
        <v>22</v>
      </c>
      <c r="M297" s="10">
        <f>IF(Table1[[#This Row],[ID ROW]]&lt;=12,Table1[[#This Row],[ID ROW]],Table1[[#This Row],[ID ROW]]+INT((Table1[[#This Row],[ID ROW]]-1)/12)*2)</f>
        <v>62</v>
      </c>
      <c r="N297" s="10" t="str">
        <f t="shared" si="19"/>
        <v>RSR62B4</v>
      </c>
      <c r="O297" s="10">
        <f>IF(Table1[[#This Row],[ID ROW]]&lt;=12,1,INT((Table1[[#This Row],[ID ROW]]-1)/12)+1)</f>
        <v>5</v>
      </c>
      <c r="P297" s="10">
        <f>Table1[[#This Row],[ID ROW]]-((Table1[[#This Row],[SECT]]-1)*12)</f>
        <v>6</v>
      </c>
    </row>
    <row r="298" spans="1:16" ht="15.75" customHeight="1" x14ac:dyDescent="0.25">
      <c r="A298" s="6" t="s">
        <v>1083</v>
      </c>
      <c r="B298" s="6" t="s">
        <v>1084</v>
      </c>
      <c r="C298" s="6" t="s">
        <v>1085</v>
      </c>
      <c r="F298" s="7" t="s">
        <v>1075</v>
      </c>
      <c r="G298" s="8">
        <v>297</v>
      </c>
      <c r="H298" s="9" t="s">
        <v>21</v>
      </c>
      <c r="I298" s="9">
        <f t="shared" si="17"/>
        <v>54</v>
      </c>
      <c r="J298" s="9">
        <f t="shared" si="16"/>
        <v>5</v>
      </c>
      <c r="K298" s="10" t="str">
        <f t="shared" si="18"/>
        <v>S1R54B5</v>
      </c>
      <c r="L298" s="10" t="s">
        <v>22</v>
      </c>
      <c r="M298" s="10">
        <f>IF(Table1[[#This Row],[ID ROW]]&lt;=12,Table1[[#This Row],[ID ROW]],Table1[[#This Row],[ID ROW]]+INT((Table1[[#This Row],[ID ROW]]-1)/12)*2)</f>
        <v>62</v>
      </c>
      <c r="N298" s="10" t="str">
        <f t="shared" si="19"/>
        <v>RSR62B5</v>
      </c>
      <c r="O298" s="10">
        <f>IF(Table1[[#This Row],[ID ROW]]&lt;=12,1,INT((Table1[[#This Row],[ID ROW]]-1)/12)+1)</f>
        <v>5</v>
      </c>
      <c r="P298" s="10">
        <f>Table1[[#This Row],[ID ROW]]-((Table1[[#This Row],[SECT]]-1)*12)</f>
        <v>6</v>
      </c>
    </row>
    <row r="299" spans="1:16" ht="15.75" customHeight="1" x14ac:dyDescent="0.3">
      <c r="A299" s="6" t="s">
        <v>1086</v>
      </c>
      <c r="B299" s="6" t="s">
        <v>117</v>
      </c>
      <c r="C299" s="6" t="s">
        <v>1087</v>
      </c>
      <c r="D299" s="6" t="s">
        <v>117</v>
      </c>
      <c r="F299" s="13" t="s">
        <v>1088</v>
      </c>
      <c r="G299" s="8">
        <v>298</v>
      </c>
      <c r="H299" s="9" t="s">
        <v>21</v>
      </c>
      <c r="I299" s="9">
        <f t="shared" si="17"/>
        <v>55</v>
      </c>
      <c r="J299" s="9">
        <f t="shared" si="16"/>
        <v>1</v>
      </c>
      <c r="K299" s="10" t="str">
        <f t="shared" si="18"/>
        <v>S1R55B1</v>
      </c>
      <c r="L299" s="10" t="s">
        <v>22</v>
      </c>
      <c r="M299" s="10">
        <f>IF(Table1[[#This Row],[ID ROW]]&lt;=12,Table1[[#This Row],[ID ROW]],Table1[[#This Row],[ID ROW]]+INT((Table1[[#This Row],[ID ROW]]-1)/12)*2)</f>
        <v>63</v>
      </c>
      <c r="N299" s="10" t="str">
        <f t="shared" si="19"/>
        <v>RSR63B1</v>
      </c>
      <c r="O299" s="10">
        <f>IF(Table1[[#This Row],[ID ROW]]&lt;=12,1,INT((Table1[[#This Row],[ID ROW]]-1)/12)+1)</f>
        <v>5</v>
      </c>
      <c r="P299" s="10">
        <f>Table1[[#This Row],[ID ROW]]-((Table1[[#This Row],[SECT]]-1)*12)</f>
        <v>7</v>
      </c>
    </row>
    <row r="300" spans="1:16" ht="15.75" customHeight="1" x14ac:dyDescent="0.25">
      <c r="A300" s="12" t="s">
        <v>1089</v>
      </c>
      <c r="B300" s="6" t="s">
        <v>1090</v>
      </c>
      <c r="C300" s="6" t="s">
        <v>67</v>
      </c>
      <c r="F300" s="7" t="s">
        <v>1091</v>
      </c>
      <c r="G300" s="8">
        <v>299</v>
      </c>
      <c r="H300" s="9" t="s">
        <v>21</v>
      </c>
      <c r="I300" s="9">
        <f t="shared" si="17"/>
        <v>55</v>
      </c>
      <c r="J300" s="9">
        <f t="shared" si="16"/>
        <v>2</v>
      </c>
      <c r="K300" s="10" t="str">
        <f t="shared" si="18"/>
        <v>S1R55B2</v>
      </c>
      <c r="L300" s="10" t="s">
        <v>22</v>
      </c>
      <c r="M300" s="10">
        <f>IF(Table1[[#This Row],[ID ROW]]&lt;=12,Table1[[#This Row],[ID ROW]],Table1[[#This Row],[ID ROW]]+INT((Table1[[#This Row],[ID ROW]]-1)/12)*2)</f>
        <v>63</v>
      </c>
      <c r="N300" s="10" t="str">
        <f t="shared" si="19"/>
        <v>RSR63B2</v>
      </c>
      <c r="O300" s="10">
        <f>IF(Table1[[#This Row],[ID ROW]]&lt;=12,1,INT((Table1[[#This Row],[ID ROW]]-1)/12)+1)</f>
        <v>5</v>
      </c>
      <c r="P300" s="10">
        <f>Table1[[#This Row],[ID ROW]]-((Table1[[#This Row],[SECT]]-1)*12)</f>
        <v>7</v>
      </c>
    </row>
    <row r="301" spans="1:16" ht="15.75" customHeight="1" x14ac:dyDescent="0.3">
      <c r="A301" s="6" t="s">
        <v>1014</v>
      </c>
      <c r="B301" s="6" t="s">
        <v>1092</v>
      </c>
      <c r="C301" s="6" t="s">
        <v>1093</v>
      </c>
      <c r="F301" s="13" t="s">
        <v>1094</v>
      </c>
      <c r="G301" s="8">
        <v>300</v>
      </c>
      <c r="H301" s="9" t="s">
        <v>21</v>
      </c>
      <c r="I301" s="9">
        <f t="shared" si="17"/>
        <v>55</v>
      </c>
      <c r="J301" s="9">
        <f t="shared" si="16"/>
        <v>3</v>
      </c>
      <c r="K301" s="10" t="str">
        <f t="shared" si="18"/>
        <v>S1R55B3</v>
      </c>
      <c r="L301" s="10" t="s">
        <v>22</v>
      </c>
      <c r="M301" s="10">
        <f>IF(Table1[[#This Row],[ID ROW]]&lt;=12,Table1[[#This Row],[ID ROW]],Table1[[#This Row],[ID ROW]]+INT((Table1[[#This Row],[ID ROW]]-1)/12)*2)</f>
        <v>63</v>
      </c>
      <c r="N301" s="10" t="str">
        <f t="shared" si="19"/>
        <v>RSR63B3</v>
      </c>
      <c r="O301" s="10">
        <f>IF(Table1[[#This Row],[ID ROW]]&lt;=12,1,INT((Table1[[#This Row],[ID ROW]]-1)/12)+1)</f>
        <v>5</v>
      </c>
      <c r="P301" s="10">
        <f>Table1[[#This Row],[ID ROW]]-((Table1[[#This Row],[SECT]]-1)*12)</f>
        <v>7</v>
      </c>
    </row>
    <row r="302" spans="1:16" ht="15.75" customHeight="1" x14ac:dyDescent="0.25">
      <c r="A302" s="6" t="s">
        <v>1095</v>
      </c>
      <c r="C302" s="6" t="s">
        <v>1096</v>
      </c>
      <c r="D302" s="6" t="s">
        <v>412</v>
      </c>
      <c r="F302" s="7" t="s">
        <v>1097</v>
      </c>
      <c r="G302" s="8">
        <v>301</v>
      </c>
      <c r="H302" s="9" t="s">
        <v>21</v>
      </c>
      <c r="I302" s="9">
        <f t="shared" si="17"/>
        <v>55</v>
      </c>
      <c r="J302" s="9">
        <f t="shared" si="16"/>
        <v>4</v>
      </c>
      <c r="K302" s="10" t="str">
        <f t="shared" si="18"/>
        <v>S1R55B4</v>
      </c>
      <c r="L302" s="10" t="s">
        <v>22</v>
      </c>
      <c r="M302" s="10">
        <f>IF(Table1[[#This Row],[ID ROW]]&lt;=12,Table1[[#This Row],[ID ROW]],Table1[[#This Row],[ID ROW]]+INT((Table1[[#This Row],[ID ROW]]-1)/12)*2)</f>
        <v>63</v>
      </c>
      <c r="N302" s="10" t="str">
        <f t="shared" si="19"/>
        <v>RSR63B4</v>
      </c>
      <c r="O302" s="10">
        <f>IF(Table1[[#This Row],[ID ROW]]&lt;=12,1,INT((Table1[[#This Row],[ID ROW]]-1)/12)+1)</f>
        <v>5</v>
      </c>
      <c r="P302" s="10">
        <f>Table1[[#This Row],[ID ROW]]-((Table1[[#This Row],[SECT]]-1)*12)</f>
        <v>7</v>
      </c>
    </row>
    <row r="303" spans="1:16" ht="15.75" customHeight="1" x14ac:dyDescent="0.3">
      <c r="A303" s="6" t="s">
        <v>1098</v>
      </c>
      <c r="B303" s="6" t="s">
        <v>117</v>
      </c>
      <c r="C303" s="6" t="s">
        <v>1099</v>
      </c>
      <c r="D303" s="6" t="s">
        <v>1100</v>
      </c>
      <c r="F303" s="13" t="s">
        <v>1097</v>
      </c>
      <c r="G303" s="8">
        <v>302</v>
      </c>
      <c r="H303" s="9" t="s">
        <v>21</v>
      </c>
      <c r="I303" s="9">
        <f t="shared" si="17"/>
        <v>55</v>
      </c>
      <c r="J303" s="9">
        <f t="shared" si="16"/>
        <v>5</v>
      </c>
      <c r="K303" s="10" t="str">
        <f t="shared" si="18"/>
        <v>S1R55B5</v>
      </c>
      <c r="L303" s="10" t="s">
        <v>22</v>
      </c>
      <c r="M303" s="10">
        <f>IF(Table1[[#This Row],[ID ROW]]&lt;=12,Table1[[#This Row],[ID ROW]],Table1[[#This Row],[ID ROW]]+INT((Table1[[#This Row],[ID ROW]]-1)/12)*2)</f>
        <v>63</v>
      </c>
      <c r="N303" s="10" t="str">
        <f t="shared" si="19"/>
        <v>RSR63B5</v>
      </c>
      <c r="O303" s="10">
        <f>IF(Table1[[#This Row],[ID ROW]]&lt;=12,1,INT((Table1[[#This Row],[ID ROW]]-1)/12)+1)</f>
        <v>5</v>
      </c>
      <c r="P303" s="10">
        <f>Table1[[#This Row],[ID ROW]]-((Table1[[#This Row],[SECT]]-1)*12)</f>
        <v>7</v>
      </c>
    </row>
    <row r="304" spans="1:16" ht="15.75" customHeight="1" x14ac:dyDescent="0.25">
      <c r="A304" s="6" t="s">
        <v>1101</v>
      </c>
      <c r="B304" s="6" t="s">
        <v>1102</v>
      </c>
      <c r="C304" s="6" t="s">
        <v>1103</v>
      </c>
      <c r="D304" s="6" t="s">
        <v>1104</v>
      </c>
      <c r="F304" s="7" t="s">
        <v>1097</v>
      </c>
      <c r="G304" s="8">
        <v>303</v>
      </c>
      <c r="H304" s="9" t="s">
        <v>21</v>
      </c>
      <c r="I304" s="9">
        <f t="shared" si="17"/>
        <v>55</v>
      </c>
      <c r="J304" s="9">
        <f t="shared" si="16"/>
        <v>6</v>
      </c>
      <c r="K304" s="10" t="str">
        <f t="shared" si="18"/>
        <v>S1R55B6</v>
      </c>
      <c r="L304" s="10" t="s">
        <v>22</v>
      </c>
      <c r="M304" s="10">
        <f>IF(Table1[[#This Row],[ID ROW]]&lt;=12,Table1[[#This Row],[ID ROW]],Table1[[#This Row],[ID ROW]]+INT((Table1[[#This Row],[ID ROW]]-1)/12)*2)</f>
        <v>63</v>
      </c>
      <c r="N304" s="10" t="str">
        <f t="shared" si="19"/>
        <v>RSR63B6</v>
      </c>
      <c r="O304" s="10">
        <f>IF(Table1[[#This Row],[ID ROW]]&lt;=12,1,INT((Table1[[#This Row],[ID ROW]]-1)/12)+1)</f>
        <v>5</v>
      </c>
      <c r="P304" s="10">
        <f>Table1[[#This Row],[ID ROW]]-((Table1[[#This Row],[SECT]]-1)*12)</f>
        <v>7</v>
      </c>
    </row>
    <row r="305" spans="1:16" ht="15.75" customHeight="1" x14ac:dyDescent="0.3">
      <c r="A305" s="6" t="s">
        <v>165</v>
      </c>
      <c r="B305" s="6" t="s">
        <v>1105</v>
      </c>
      <c r="C305" s="6" t="s">
        <v>1106</v>
      </c>
      <c r="D305" s="6" t="s">
        <v>120</v>
      </c>
      <c r="F305" s="13" t="s">
        <v>1107</v>
      </c>
      <c r="G305" s="8">
        <v>304</v>
      </c>
      <c r="H305" s="9" t="s">
        <v>21</v>
      </c>
      <c r="I305" s="9">
        <f t="shared" si="17"/>
        <v>56</v>
      </c>
      <c r="J305" s="9">
        <f t="shared" si="16"/>
        <v>1</v>
      </c>
      <c r="K305" s="10" t="str">
        <f t="shared" si="18"/>
        <v>S1R56B1</v>
      </c>
      <c r="L305" s="10" t="s">
        <v>22</v>
      </c>
      <c r="M305" s="10">
        <f>IF(Table1[[#This Row],[ID ROW]]&lt;=12,Table1[[#This Row],[ID ROW]],Table1[[#This Row],[ID ROW]]+INT((Table1[[#This Row],[ID ROW]]-1)/12)*2)</f>
        <v>64</v>
      </c>
      <c r="N305" s="10" t="str">
        <f t="shared" si="19"/>
        <v>RSR64B1</v>
      </c>
      <c r="O305" s="10">
        <f>IF(Table1[[#This Row],[ID ROW]]&lt;=12,1,INT((Table1[[#This Row],[ID ROW]]-1)/12)+1)</f>
        <v>5</v>
      </c>
      <c r="P305" s="10">
        <f>Table1[[#This Row],[ID ROW]]-((Table1[[#This Row],[SECT]]-1)*12)</f>
        <v>8</v>
      </c>
    </row>
    <row r="306" spans="1:16" ht="15.75" customHeight="1" x14ac:dyDescent="0.25">
      <c r="A306" s="6" t="s">
        <v>1108</v>
      </c>
      <c r="B306" s="6" t="s">
        <v>1109</v>
      </c>
      <c r="C306" s="6" t="s">
        <v>67</v>
      </c>
      <c r="D306" s="6" t="s">
        <v>1110</v>
      </c>
      <c r="F306" s="7" t="s">
        <v>1111</v>
      </c>
      <c r="G306" s="8">
        <v>305</v>
      </c>
      <c r="H306" s="9" t="s">
        <v>21</v>
      </c>
      <c r="I306" s="9">
        <f t="shared" si="17"/>
        <v>56</v>
      </c>
      <c r="J306" s="9">
        <f t="shared" si="16"/>
        <v>2</v>
      </c>
      <c r="K306" s="10" t="str">
        <f t="shared" si="18"/>
        <v>S1R56B2</v>
      </c>
      <c r="L306" s="10" t="s">
        <v>22</v>
      </c>
      <c r="M306" s="10">
        <f>IF(Table1[[#This Row],[ID ROW]]&lt;=12,Table1[[#This Row],[ID ROW]],Table1[[#This Row],[ID ROW]]+INT((Table1[[#This Row],[ID ROW]]-1)/12)*2)</f>
        <v>64</v>
      </c>
      <c r="N306" s="10" t="str">
        <f t="shared" si="19"/>
        <v>RSR64B2</v>
      </c>
      <c r="O306" s="10">
        <f>IF(Table1[[#This Row],[ID ROW]]&lt;=12,1,INT((Table1[[#This Row],[ID ROW]]-1)/12)+1)</f>
        <v>5</v>
      </c>
      <c r="P306" s="10">
        <f>Table1[[#This Row],[ID ROW]]-((Table1[[#This Row],[SECT]]-1)*12)</f>
        <v>8</v>
      </c>
    </row>
    <row r="307" spans="1:16" ht="15.75" customHeight="1" x14ac:dyDescent="0.3">
      <c r="A307" s="6" t="s">
        <v>1112</v>
      </c>
      <c r="B307" s="6" t="s">
        <v>1113</v>
      </c>
      <c r="C307" s="6" t="s">
        <v>1114</v>
      </c>
      <c r="D307" s="6" t="s">
        <v>1115</v>
      </c>
      <c r="F307" s="13" t="s">
        <v>1116</v>
      </c>
      <c r="G307" s="8">
        <v>306</v>
      </c>
      <c r="H307" s="9" t="s">
        <v>21</v>
      </c>
      <c r="I307" s="9">
        <f t="shared" si="17"/>
        <v>56</v>
      </c>
      <c r="J307" s="9">
        <f t="shared" si="16"/>
        <v>3</v>
      </c>
      <c r="K307" s="10" t="str">
        <f t="shared" si="18"/>
        <v>S1R56B3</v>
      </c>
      <c r="L307" s="10" t="s">
        <v>22</v>
      </c>
      <c r="M307" s="10">
        <f>IF(Table1[[#This Row],[ID ROW]]&lt;=12,Table1[[#This Row],[ID ROW]],Table1[[#This Row],[ID ROW]]+INT((Table1[[#This Row],[ID ROW]]-1)/12)*2)</f>
        <v>64</v>
      </c>
      <c r="N307" s="10" t="str">
        <f t="shared" si="19"/>
        <v>RSR64B3</v>
      </c>
      <c r="O307" s="10">
        <f>IF(Table1[[#This Row],[ID ROW]]&lt;=12,1,INT((Table1[[#This Row],[ID ROW]]-1)/12)+1)</f>
        <v>5</v>
      </c>
      <c r="P307" s="10">
        <f>Table1[[#This Row],[ID ROW]]-((Table1[[#This Row],[SECT]]-1)*12)</f>
        <v>8</v>
      </c>
    </row>
    <row r="308" spans="1:16" ht="15.75" customHeight="1" x14ac:dyDescent="0.25">
      <c r="A308" s="6" t="s">
        <v>1117</v>
      </c>
      <c r="B308" s="6" t="s">
        <v>1118</v>
      </c>
      <c r="D308" s="6" t="s">
        <v>1119</v>
      </c>
      <c r="F308" s="7" t="s">
        <v>629</v>
      </c>
      <c r="G308" s="8">
        <v>307</v>
      </c>
      <c r="H308" s="9" t="s">
        <v>21</v>
      </c>
      <c r="I308" s="9">
        <f t="shared" si="17"/>
        <v>56</v>
      </c>
      <c r="J308" s="9">
        <f t="shared" si="16"/>
        <v>4</v>
      </c>
      <c r="K308" s="10" t="str">
        <f t="shared" si="18"/>
        <v>S1R56B4</v>
      </c>
      <c r="L308" s="10" t="s">
        <v>22</v>
      </c>
      <c r="M308" s="10">
        <f>IF(Table1[[#This Row],[ID ROW]]&lt;=12,Table1[[#This Row],[ID ROW]],Table1[[#This Row],[ID ROW]]+INT((Table1[[#This Row],[ID ROW]]-1)/12)*2)</f>
        <v>64</v>
      </c>
      <c r="N308" s="10" t="str">
        <f t="shared" si="19"/>
        <v>RSR64B4</v>
      </c>
      <c r="O308" s="10">
        <f>IF(Table1[[#This Row],[ID ROW]]&lt;=12,1,INT((Table1[[#This Row],[ID ROW]]-1)/12)+1)</f>
        <v>5</v>
      </c>
      <c r="P308" s="10">
        <f>Table1[[#This Row],[ID ROW]]-((Table1[[#This Row],[SECT]]-1)*12)</f>
        <v>8</v>
      </c>
    </row>
    <row r="309" spans="1:16" ht="15.75" customHeight="1" x14ac:dyDescent="0.3">
      <c r="A309" s="6" t="s">
        <v>1120</v>
      </c>
      <c r="B309" s="6" t="s">
        <v>1121</v>
      </c>
      <c r="C309" s="6" t="s">
        <v>1122</v>
      </c>
      <c r="F309" s="13" t="s">
        <v>1123</v>
      </c>
      <c r="G309" s="8">
        <v>308</v>
      </c>
      <c r="H309" s="9" t="s">
        <v>21</v>
      </c>
      <c r="I309" s="9">
        <f t="shared" si="17"/>
        <v>56</v>
      </c>
      <c r="J309" s="9">
        <f t="shared" si="16"/>
        <v>5</v>
      </c>
      <c r="K309" s="10" t="str">
        <f t="shared" si="18"/>
        <v>S1R56B5</v>
      </c>
      <c r="L309" s="10" t="s">
        <v>22</v>
      </c>
      <c r="M309" s="10">
        <f>IF(Table1[[#This Row],[ID ROW]]&lt;=12,Table1[[#This Row],[ID ROW]],Table1[[#This Row],[ID ROW]]+INT((Table1[[#This Row],[ID ROW]]-1)/12)*2)</f>
        <v>64</v>
      </c>
      <c r="N309" s="10" t="str">
        <f t="shared" si="19"/>
        <v>RSR64B5</v>
      </c>
      <c r="O309" s="10">
        <f>IF(Table1[[#This Row],[ID ROW]]&lt;=12,1,INT((Table1[[#This Row],[ID ROW]]-1)/12)+1)</f>
        <v>5</v>
      </c>
      <c r="P309" s="10">
        <f>Table1[[#This Row],[ID ROW]]-((Table1[[#This Row],[SECT]]-1)*12)</f>
        <v>8</v>
      </c>
    </row>
    <row r="310" spans="1:16" ht="15.75" customHeight="1" x14ac:dyDescent="0.25">
      <c r="A310" s="6" t="s">
        <v>1124</v>
      </c>
      <c r="C310" s="6" t="s">
        <v>1125</v>
      </c>
      <c r="F310" s="7" t="s">
        <v>1126</v>
      </c>
      <c r="G310" s="8">
        <v>309</v>
      </c>
      <c r="H310" s="9" t="s">
        <v>21</v>
      </c>
      <c r="I310" s="9">
        <f t="shared" si="17"/>
        <v>57</v>
      </c>
      <c r="J310" s="9">
        <f t="shared" si="16"/>
        <v>1</v>
      </c>
      <c r="K310" s="10" t="str">
        <f t="shared" si="18"/>
        <v>S1R57B1</v>
      </c>
      <c r="L310" s="10" t="s">
        <v>22</v>
      </c>
      <c r="M310" s="10">
        <f>IF(Table1[[#This Row],[ID ROW]]&lt;=12,Table1[[#This Row],[ID ROW]],Table1[[#This Row],[ID ROW]]+INT((Table1[[#This Row],[ID ROW]]-1)/12)*2)</f>
        <v>65</v>
      </c>
      <c r="N310" s="10" t="str">
        <f t="shared" si="19"/>
        <v>RSR65B1</v>
      </c>
      <c r="O310" s="10">
        <f>IF(Table1[[#This Row],[ID ROW]]&lt;=12,1,INT((Table1[[#This Row],[ID ROW]]-1)/12)+1)</f>
        <v>5</v>
      </c>
      <c r="P310" s="10">
        <f>Table1[[#This Row],[ID ROW]]-((Table1[[#This Row],[SECT]]-1)*12)</f>
        <v>9</v>
      </c>
    </row>
    <row r="311" spans="1:16" ht="15.75" customHeight="1" x14ac:dyDescent="0.3">
      <c r="A311" s="6" t="s">
        <v>1127</v>
      </c>
      <c r="B311" s="6" t="s">
        <v>338</v>
      </c>
      <c r="C311" s="6" t="s">
        <v>1128</v>
      </c>
      <c r="D311" s="6" t="s">
        <v>616</v>
      </c>
      <c r="F311" s="13" t="s">
        <v>1129</v>
      </c>
      <c r="G311" s="8">
        <v>310</v>
      </c>
      <c r="H311" s="9" t="s">
        <v>21</v>
      </c>
      <c r="I311" s="9">
        <f t="shared" si="17"/>
        <v>57</v>
      </c>
      <c r="J311" s="9">
        <f t="shared" si="16"/>
        <v>2</v>
      </c>
      <c r="K311" s="10" t="str">
        <f t="shared" si="18"/>
        <v>S1R57B2</v>
      </c>
      <c r="L311" s="10" t="s">
        <v>22</v>
      </c>
      <c r="M311" s="10">
        <f>IF(Table1[[#This Row],[ID ROW]]&lt;=12,Table1[[#This Row],[ID ROW]],Table1[[#This Row],[ID ROW]]+INT((Table1[[#This Row],[ID ROW]]-1)/12)*2)</f>
        <v>65</v>
      </c>
      <c r="N311" s="10" t="str">
        <f t="shared" si="19"/>
        <v>RSR65B2</v>
      </c>
      <c r="O311" s="10">
        <f>IF(Table1[[#This Row],[ID ROW]]&lt;=12,1,INT((Table1[[#This Row],[ID ROW]]-1)/12)+1)</f>
        <v>5</v>
      </c>
      <c r="P311" s="10">
        <f>Table1[[#This Row],[ID ROW]]-((Table1[[#This Row],[SECT]]-1)*12)</f>
        <v>9</v>
      </c>
    </row>
    <row r="312" spans="1:16" ht="15.75" customHeight="1" x14ac:dyDescent="0.25">
      <c r="A312" s="6" t="s">
        <v>1130</v>
      </c>
      <c r="B312" s="6" t="s">
        <v>1131</v>
      </c>
      <c r="C312" s="6" t="s">
        <v>1128</v>
      </c>
      <c r="D312" s="6" t="s">
        <v>616</v>
      </c>
      <c r="F312" s="7" t="s">
        <v>1132</v>
      </c>
      <c r="G312" s="8">
        <v>311</v>
      </c>
      <c r="H312" s="9" t="s">
        <v>21</v>
      </c>
      <c r="I312" s="9">
        <f t="shared" si="17"/>
        <v>57</v>
      </c>
      <c r="J312" s="9">
        <f t="shared" si="16"/>
        <v>3</v>
      </c>
      <c r="K312" s="10" t="str">
        <f t="shared" si="18"/>
        <v>S1R57B3</v>
      </c>
      <c r="L312" s="10" t="s">
        <v>22</v>
      </c>
      <c r="M312" s="10">
        <f>IF(Table1[[#This Row],[ID ROW]]&lt;=12,Table1[[#This Row],[ID ROW]],Table1[[#This Row],[ID ROW]]+INT((Table1[[#This Row],[ID ROW]]-1)/12)*2)</f>
        <v>65</v>
      </c>
      <c r="N312" s="10" t="str">
        <f t="shared" si="19"/>
        <v>RSR65B3</v>
      </c>
      <c r="O312" s="10">
        <f>IF(Table1[[#This Row],[ID ROW]]&lt;=12,1,INT((Table1[[#This Row],[ID ROW]]-1)/12)+1)</f>
        <v>5</v>
      </c>
      <c r="P312" s="10">
        <f>Table1[[#This Row],[ID ROW]]-((Table1[[#This Row],[SECT]]-1)*12)</f>
        <v>9</v>
      </c>
    </row>
    <row r="313" spans="1:16" ht="15.75" customHeight="1" x14ac:dyDescent="0.3">
      <c r="A313" s="6" t="s">
        <v>1133</v>
      </c>
      <c r="B313" s="6" t="s">
        <v>1134</v>
      </c>
      <c r="C313" s="6" t="s">
        <v>1135</v>
      </c>
      <c r="D313" s="6" t="s">
        <v>1136</v>
      </c>
      <c r="F313" s="13" t="s">
        <v>1137</v>
      </c>
      <c r="G313" s="8">
        <v>312</v>
      </c>
      <c r="H313" s="9" t="s">
        <v>21</v>
      </c>
      <c r="I313" s="9">
        <f t="shared" si="17"/>
        <v>57</v>
      </c>
      <c r="J313" s="9">
        <f t="shared" si="16"/>
        <v>4</v>
      </c>
      <c r="K313" s="10" t="str">
        <f t="shared" si="18"/>
        <v>S1R57B4</v>
      </c>
      <c r="L313" s="10" t="s">
        <v>22</v>
      </c>
      <c r="M313" s="10">
        <f>IF(Table1[[#This Row],[ID ROW]]&lt;=12,Table1[[#This Row],[ID ROW]],Table1[[#This Row],[ID ROW]]+INT((Table1[[#This Row],[ID ROW]]-1)/12)*2)</f>
        <v>65</v>
      </c>
      <c r="N313" s="10" t="str">
        <f t="shared" si="19"/>
        <v>RSR65B4</v>
      </c>
      <c r="O313" s="10">
        <f>IF(Table1[[#This Row],[ID ROW]]&lt;=12,1,INT((Table1[[#This Row],[ID ROW]]-1)/12)+1)</f>
        <v>5</v>
      </c>
      <c r="P313" s="10">
        <f>Table1[[#This Row],[ID ROW]]-((Table1[[#This Row],[SECT]]-1)*12)</f>
        <v>9</v>
      </c>
    </row>
    <row r="314" spans="1:16" ht="15.75" customHeight="1" x14ac:dyDescent="0.25">
      <c r="A314" s="6" t="s">
        <v>1133</v>
      </c>
      <c r="B314" s="6" t="s">
        <v>1138</v>
      </c>
      <c r="C314" s="6" t="s">
        <v>1139</v>
      </c>
      <c r="D314" s="6" t="s">
        <v>1140</v>
      </c>
      <c r="F314" s="7" t="s">
        <v>1137</v>
      </c>
      <c r="G314" s="8">
        <v>313</v>
      </c>
      <c r="H314" s="9" t="s">
        <v>21</v>
      </c>
      <c r="I314" s="9">
        <f t="shared" si="17"/>
        <v>57</v>
      </c>
      <c r="J314" s="9">
        <f t="shared" si="16"/>
        <v>5</v>
      </c>
      <c r="K314" s="10" t="str">
        <f t="shared" si="18"/>
        <v>S1R57B5</v>
      </c>
      <c r="L314" s="10" t="s">
        <v>22</v>
      </c>
      <c r="M314" s="10">
        <f>IF(Table1[[#This Row],[ID ROW]]&lt;=12,Table1[[#This Row],[ID ROW]],Table1[[#This Row],[ID ROW]]+INT((Table1[[#This Row],[ID ROW]]-1)/12)*2)</f>
        <v>65</v>
      </c>
      <c r="N314" s="10" t="str">
        <f t="shared" si="19"/>
        <v>RSR65B5</v>
      </c>
      <c r="O314" s="10">
        <f>IF(Table1[[#This Row],[ID ROW]]&lt;=12,1,INT((Table1[[#This Row],[ID ROW]]-1)/12)+1)</f>
        <v>5</v>
      </c>
      <c r="P314" s="10">
        <f>Table1[[#This Row],[ID ROW]]-((Table1[[#This Row],[SECT]]-1)*12)</f>
        <v>9</v>
      </c>
    </row>
    <row r="315" spans="1:16" ht="15.75" customHeight="1" x14ac:dyDescent="0.3">
      <c r="A315" s="6" t="s">
        <v>1141</v>
      </c>
      <c r="B315" s="6" t="s">
        <v>234</v>
      </c>
      <c r="C315" s="6" t="s">
        <v>1142</v>
      </c>
      <c r="D315" s="6" t="s">
        <v>127</v>
      </c>
      <c r="F315" s="13" t="s">
        <v>1143</v>
      </c>
      <c r="G315" s="8">
        <v>314</v>
      </c>
      <c r="H315" s="9" t="s">
        <v>21</v>
      </c>
      <c r="I315" s="9">
        <f t="shared" si="17"/>
        <v>57</v>
      </c>
      <c r="J315" s="9">
        <f t="shared" si="16"/>
        <v>6</v>
      </c>
      <c r="K315" s="10" t="str">
        <f t="shared" si="18"/>
        <v>S1R57B6</v>
      </c>
      <c r="L315" s="10" t="s">
        <v>22</v>
      </c>
      <c r="M315" s="10">
        <f>IF(Table1[[#This Row],[ID ROW]]&lt;=12,Table1[[#This Row],[ID ROW]],Table1[[#This Row],[ID ROW]]+INT((Table1[[#This Row],[ID ROW]]-1)/12)*2)</f>
        <v>65</v>
      </c>
      <c r="N315" s="10" t="str">
        <f t="shared" si="19"/>
        <v>RSR65B6</v>
      </c>
      <c r="O315" s="10">
        <f>IF(Table1[[#This Row],[ID ROW]]&lt;=12,1,INT((Table1[[#This Row],[ID ROW]]-1)/12)+1)</f>
        <v>5</v>
      </c>
      <c r="P315" s="10">
        <f>Table1[[#This Row],[ID ROW]]-((Table1[[#This Row],[SECT]]-1)*12)</f>
        <v>9</v>
      </c>
    </row>
    <row r="316" spans="1:16" ht="15.75" customHeight="1" x14ac:dyDescent="0.25">
      <c r="A316" s="6" t="s">
        <v>1144</v>
      </c>
      <c r="B316" s="6" t="s">
        <v>1145</v>
      </c>
      <c r="C316" s="6" t="s">
        <v>1146</v>
      </c>
      <c r="F316" s="7" t="s">
        <v>1147</v>
      </c>
      <c r="G316" s="8">
        <v>315</v>
      </c>
      <c r="H316" s="9" t="s">
        <v>21</v>
      </c>
      <c r="I316" s="9">
        <f t="shared" si="17"/>
        <v>58</v>
      </c>
      <c r="J316" s="9">
        <f t="shared" si="16"/>
        <v>1</v>
      </c>
      <c r="K316" s="10" t="str">
        <f t="shared" si="18"/>
        <v>S1R58B1</v>
      </c>
      <c r="L316" s="10" t="s">
        <v>22</v>
      </c>
      <c r="M316" s="10">
        <f>IF(Table1[[#This Row],[ID ROW]]&lt;=12,Table1[[#This Row],[ID ROW]],Table1[[#This Row],[ID ROW]]+INT((Table1[[#This Row],[ID ROW]]-1)/12)*2)</f>
        <v>66</v>
      </c>
      <c r="N316" s="10" t="str">
        <f t="shared" si="19"/>
        <v>RSR66B1</v>
      </c>
      <c r="O316" s="10">
        <f>IF(Table1[[#This Row],[ID ROW]]&lt;=12,1,INT((Table1[[#This Row],[ID ROW]]-1)/12)+1)</f>
        <v>5</v>
      </c>
      <c r="P316" s="10">
        <f>Table1[[#This Row],[ID ROW]]-((Table1[[#This Row],[SECT]]-1)*12)</f>
        <v>10</v>
      </c>
    </row>
    <row r="317" spans="1:16" ht="15.75" customHeight="1" x14ac:dyDescent="0.3">
      <c r="A317" s="6" t="s">
        <v>1148</v>
      </c>
      <c r="B317" s="6" t="s">
        <v>754</v>
      </c>
      <c r="C317" s="6" t="s">
        <v>1149</v>
      </c>
      <c r="F317" s="13" t="s">
        <v>1150</v>
      </c>
      <c r="G317" s="8">
        <v>316</v>
      </c>
      <c r="H317" s="9" t="s">
        <v>21</v>
      </c>
      <c r="I317" s="9">
        <f t="shared" si="17"/>
        <v>58</v>
      </c>
      <c r="J317" s="9">
        <f t="shared" si="16"/>
        <v>2</v>
      </c>
      <c r="K317" s="10" t="str">
        <f t="shared" si="18"/>
        <v>S1R58B2</v>
      </c>
      <c r="L317" s="10" t="s">
        <v>22</v>
      </c>
      <c r="M317" s="10">
        <f>IF(Table1[[#This Row],[ID ROW]]&lt;=12,Table1[[#This Row],[ID ROW]],Table1[[#This Row],[ID ROW]]+INT((Table1[[#This Row],[ID ROW]]-1)/12)*2)</f>
        <v>66</v>
      </c>
      <c r="N317" s="10" t="str">
        <f t="shared" si="19"/>
        <v>RSR66B2</v>
      </c>
      <c r="O317" s="10">
        <f>IF(Table1[[#This Row],[ID ROW]]&lt;=12,1,INT((Table1[[#This Row],[ID ROW]]-1)/12)+1)</f>
        <v>5</v>
      </c>
      <c r="P317" s="10">
        <f>Table1[[#This Row],[ID ROW]]-((Table1[[#This Row],[SECT]]-1)*12)</f>
        <v>10</v>
      </c>
    </row>
    <row r="318" spans="1:16" ht="15.75" customHeight="1" x14ac:dyDescent="0.25">
      <c r="A318" s="6" t="s">
        <v>1151</v>
      </c>
      <c r="B318" s="6" t="s">
        <v>1152</v>
      </c>
      <c r="C318" s="6" t="s">
        <v>1153</v>
      </c>
      <c r="D318" s="6" t="s">
        <v>1154</v>
      </c>
      <c r="F318" s="7" t="s">
        <v>1155</v>
      </c>
      <c r="G318" s="8">
        <v>317</v>
      </c>
      <c r="H318" s="9" t="s">
        <v>21</v>
      </c>
      <c r="I318" s="9">
        <f t="shared" si="17"/>
        <v>58</v>
      </c>
      <c r="J318" s="9">
        <f t="shared" si="16"/>
        <v>3</v>
      </c>
      <c r="K318" s="10" t="str">
        <f t="shared" si="18"/>
        <v>S1R58B3</v>
      </c>
      <c r="L318" s="10" t="s">
        <v>22</v>
      </c>
      <c r="M318" s="10">
        <f>IF(Table1[[#This Row],[ID ROW]]&lt;=12,Table1[[#This Row],[ID ROW]],Table1[[#This Row],[ID ROW]]+INT((Table1[[#This Row],[ID ROW]]-1)/12)*2)</f>
        <v>66</v>
      </c>
      <c r="N318" s="10" t="str">
        <f t="shared" si="19"/>
        <v>RSR66B3</v>
      </c>
      <c r="O318" s="10">
        <f>IF(Table1[[#This Row],[ID ROW]]&lt;=12,1,INT((Table1[[#This Row],[ID ROW]]-1)/12)+1)</f>
        <v>5</v>
      </c>
      <c r="P318" s="10">
        <f>Table1[[#This Row],[ID ROW]]-((Table1[[#This Row],[SECT]]-1)*12)</f>
        <v>10</v>
      </c>
    </row>
    <row r="319" spans="1:16" ht="15.75" customHeight="1" x14ac:dyDescent="0.3">
      <c r="A319" s="6" t="s">
        <v>1156</v>
      </c>
      <c r="B319" s="6" t="s">
        <v>1157</v>
      </c>
      <c r="C319" s="6" t="s">
        <v>1158</v>
      </c>
      <c r="D319" s="17">
        <v>41048</v>
      </c>
      <c r="F319" s="13" t="s">
        <v>1159</v>
      </c>
      <c r="G319" s="8">
        <v>318</v>
      </c>
      <c r="H319" s="9" t="s">
        <v>21</v>
      </c>
      <c r="I319" s="9">
        <f t="shared" si="17"/>
        <v>58</v>
      </c>
      <c r="J319" s="9">
        <f t="shared" si="16"/>
        <v>4</v>
      </c>
      <c r="K319" s="10" t="str">
        <f t="shared" si="18"/>
        <v>S1R58B4</v>
      </c>
      <c r="L319" s="10" t="s">
        <v>22</v>
      </c>
      <c r="M319" s="10">
        <f>IF(Table1[[#This Row],[ID ROW]]&lt;=12,Table1[[#This Row],[ID ROW]],Table1[[#This Row],[ID ROW]]+INT((Table1[[#This Row],[ID ROW]]-1)/12)*2)</f>
        <v>66</v>
      </c>
      <c r="N319" s="10" t="str">
        <f t="shared" si="19"/>
        <v>RSR66B4</v>
      </c>
      <c r="O319" s="10">
        <f>IF(Table1[[#This Row],[ID ROW]]&lt;=12,1,INT((Table1[[#This Row],[ID ROW]]-1)/12)+1)</f>
        <v>5</v>
      </c>
      <c r="P319" s="10">
        <f>Table1[[#This Row],[ID ROW]]-((Table1[[#This Row],[SECT]]-1)*12)</f>
        <v>10</v>
      </c>
    </row>
    <row r="320" spans="1:16" ht="15.75" customHeight="1" x14ac:dyDescent="0.25">
      <c r="A320" s="6" t="s">
        <v>1160</v>
      </c>
      <c r="B320" s="6" t="s">
        <v>596</v>
      </c>
      <c r="C320" s="6" t="s">
        <v>1161</v>
      </c>
      <c r="F320" s="7" t="s">
        <v>1162</v>
      </c>
      <c r="G320" s="8">
        <v>319</v>
      </c>
      <c r="H320" s="9" t="s">
        <v>21</v>
      </c>
      <c r="I320" s="9">
        <f t="shared" si="17"/>
        <v>58</v>
      </c>
      <c r="J320" s="9">
        <f t="shared" si="16"/>
        <v>5</v>
      </c>
      <c r="K320" s="10" t="str">
        <f t="shared" si="18"/>
        <v>S1R58B5</v>
      </c>
      <c r="L320" s="10" t="s">
        <v>22</v>
      </c>
      <c r="M320" s="10">
        <f>IF(Table1[[#This Row],[ID ROW]]&lt;=12,Table1[[#This Row],[ID ROW]],Table1[[#This Row],[ID ROW]]+INT((Table1[[#This Row],[ID ROW]]-1)/12)*2)</f>
        <v>66</v>
      </c>
      <c r="N320" s="10" t="str">
        <f t="shared" si="19"/>
        <v>RSR66B5</v>
      </c>
      <c r="O320" s="10">
        <f>IF(Table1[[#This Row],[ID ROW]]&lt;=12,1,INT((Table1[[#This Row],[ID ROW]]-1)/12)+1)</f>
        <v>5</v>
      </c>
      <c r="P320" s="10">
        <f>Table1[[#This Row],[ID ROW]]-((Table1[[#This Row],[SECT]]-1)*12)</f>
        <v>10</v>
      </c>
    </row>
    <row r="321" spans="1:16" ht="15.75" customHeight="1" x14ac:dyDescent="0.3">
      <c r="A321" s="6" t="s">
        <v>1163</v>
      </c>
      <c r="B321" s="6" t="s">
        <v>117</v>
      </c>
      <c r="F321" s="13" t="s">
        <v>1164</v>
      </c>
      <c r="G321" s="8">
        <v>320</v>
      </c>
      <c r="H321" s="9" t="s">
        <v>21</v>
      </c>
      <c r="I321" s="9">
        <f t="shared" si="17"/>
        <v>59</v>
      </c>
      <c r="J321" s="9">
        <f t="shared" si="16"/>
        <v>1</v>
      </c>
      <c r="K321" s="10" t="str">
        <f t="shared" si="18"/>
        <v>S1R59B1</v>
      </c>
      <c r="L321" s="10" t="s">
        <v>22</v>
      </c>
      <c r="M321" s="10">
        <f>IF(Table1[[#This Row],[ID ROW]]&lt;=12,Table1[[#This Row],[ID ROW]],Table1[[#This Row],[ID ROW]]+INT((Table1[[#This Row],[ID ROW]]-1)/12)*2)</f>
        <v>67</v>
      </c>
      <c r="N321" s="10" t="str">
        <f t="shared" si="19"/>
        <v>RSR67B1</v>
      </c>
      <c r="O321" s="10">
        <f>IF(Table1[[#This Row],[ID ROW]]&lt;=12,1,INT((Table1[[#This Row],[ID ROW]]-1)/12)+1)</f>
        <v>5</v>
      </c>
      <c r="P321" s="10">
        <f>Table1[[#This Row],[ID ROW]]-((Table1[[#This Row],[SECT]]-1)*12)</f>
        <v>11</v>
      </c>
    </row>
    <row r="322" spans="1:16" ht="15.75" customHeight="1" x14ac:dyDescent="0.25">
      <c r="A322" s="6" t="s">
        <v>1165</v>
      </c>
      <c r="B322" s="6" t="s">
        <v>1166</v>
      </c>
      <c r="C322" s="6" t="s">
        <v>1167</v>
      </c>
      <c r="F322" s="7" t="s">
        <v>1168</v>
      </c>
      <c r="G322" s="8">
        <v>321</v>
      </c>
      <c r="H322" s="9" t="s">
        <v>21</v>
      </c>
      <c r="I322" s="9">
        <f t="shared" si="17"/>
        <v>59</v>
      </c>
      <c r="J322" s="9">
        <f t="shared" ref="J322:J385" si="20">IF(MOD(G322-1,11)&lt;6,(MOD(G322-1,11)+1-(5*FLOOR(MOD(G322-1,11),6))),(MOD(G322-1,11))-5)</f>
        <v>2</v>
      </c>
      <c r="K322" s="10" t="str">
        <f t="shared" si="18"/>
        <v>S1R59B2</v>
      </c>
      <c r="L322" s="10" t="s">
        <v>22</v>
      </c>
      <c r="M322" s="10">
        <f>IF(Table1[[#This Row],[ID ROW]]&lt;=12,Table1[[#This Row],[ID ROW]],Table1[[#This Row],[ID ROW]]+INT((Table1[[#This Row],[ID ROW]]-1)/12)*2)</f>
        <v>67</v>
      </c>
      <c r="N322" s="10" t="str">
        <f t="shared" si="19"/>
        <v>RSR67B2</v>
      </c>
      <c r="O322" s="10">
        <f>IF(Table1[[#This Row],[ID ROW]]&lt;=12,1,INT((Table1[[#This Row],[ID ROW]]-1)/12)+1)</f>
        <v>5</v>
      </c>
      <c r="P322" s="10">
        <f>Table1[[#This Row],[ID ROW]]-((Table1[[#This Row],[SECT]]-1)*12)</f>
        <v>11</v>
      </c>
    </row>
    <row r="323" spans="1:16" ht="15.75" customHeight="1" x14ac:dyDescent="0.3">
      <c r="A323" s="6" t="s">
        <v>165</v>
      </c>
      <c r="B323" s="6" t="s">
        <v>1169</v>
      </c>
      <c r="C323" s="6" t="s">
        <v>1170</v>
      </c>
      <c r="D323" s="6" t="s">
        <v>1171</v>
      </c>
      <c r="F323" s="13" t="s">
        <v>63</v>
      </c>
      <c r="G323" s="8">
        <v>322</v>
      </c>
      <c r="H323" s="9" t="s">
        <v>21</v>
      </c>
      <c r="I323" s="9">
        <f t="shared" ref="I323:I386" si="21">INT((G323-1)/11)*2 + IF(MOD(G323-1, 11) &lt; 6, 1, 2)</f>
        <v>59</v>
      </c>
      <c r="J323" s="9">
        <f t="shared" si="20"/>
        <v>3</v>
      </c>
      <c r="K323" s="10" t="str">
        <f t="shared" ref="K323:K386" si="22">H323&amp;"R"&amp;I323&amp;"B"&amp;J323</f>
        <v>S1R59B3</v>
      </c>
      <c r="L323" s="10" t="s">
        <v>22</v>
      </c>
      <c r="M323" s="10">
        <f>IF(Table1[[#This Row],[ID ROW]]&lt;=12,Table1[[#This Row],[ID ROW]],Table1[[#This Row],[ID ROW]]+INT((Table1[[#This Row],[ID ROW]]-1)/12)*2)</f>
        <v>67</v>
      </c>
      <c r="N323" s="10" t="str">
        <f t="shared" ref="N323:N386" si="23">L323&amp;"R"&amp;M323&amp;"B"&amp;J323</f>
        <v>RSR67B3</v>
      </c>
      <c r="O323" s="10">
        <f>IF(Table1[[#This Row],[ID ROW]]&lt;=12,1,INT((Table1[[#This Row],[ID ROW]]-1)/12)+1)</f>
        <v>5</v>
      </c>
      <c r="P323" s="10">
        <f>Table1[[#This Row],[ID ROW]]-((Table1[[#This Row],[SECT]]-1)*12)</f>
        <v>11</v>
      </c>
    </row>
    <row r="324" spans="1:16" ht="15.75" customHeight="1" x14ac:dyDescent="0.25">
      <c r="A324" s="6" t="s">
        <v>1172</v>
      </c>
      <c r="B324" s="6" t="s">
        <v>1173</v>
      </c>
      <c r="C324" s="6" t="s">
        <v>1174</v>
      </c>
      <c r="D324" s="6" t="s">
        <v>1175</v>
      </c>
      <c r="F324" s="7" t="s">
        <v>63</v>
      </c>
      <c r="G324" s="8">
        <v>323</v>
      </c>
      <c r="H324" s="9" t="s">
        <v>21</v>
      </c>
      <c r="I324" s="9">
        <f t="shared" si="21"/>
        <v>59</v>
      </c>
      <c r="J324" s="9">
        <f t="shared" si="20"/>
        <v>4</v>
      </c>
      <c r="K324" s="10" t="str">
        <f t="shared" si="22"/>
        <v>S1R59B4</v>
      </c>
      <c r="L324" s="10" t="s">
        <v>22</v>
      </c>
      <c r="M324" s="10">
        <f>IF(Table1[[#This Row],[ID ROW]]&lt;=12,Table1[[#This Row],[ID ROW]],Table1[[#This Row],[ID ROW]]+INT((Table1[[#This Row],[ID ROW]]-1)/12)*2)</f>
        <v>67</v>
      </c>
      <c r="N324" s="10" t="str">
        <f t="shared" si="23"/>
        <v>RSR67B4</v>
      </c>
      <c r="O324" s="10">
        <f>IF(Table1[[#This Row],[ID ROW]]&lt;=12,1,INT((Table1[[#This Row],[ID ROW]]-1)/12)+1)</f>
        <v>5</v>
      </c>
      <c r="P324" s="10">
        <f>Table1[[#This Row],[ID ROW]]-((Table1[[#This Row],[SECT]]-1)*12)</f>
        <v>11</v>
      </c>
    </row>
    <row r="325" spans="1:16" ht="15.75" customHeight="1" x14ac:dyDescent="0.3">
      <c r="A325" s="6" t="s">
        <v>1176</v>
      </c>
      <c r="B325" s="6" t="s">
        <v>1177</v>
      </c>
      <c r="C325" s="6" t="s">
        <v>1178</v>
      </c>
      <c r="F325" s="13" t="s">
        <v>1179</v>
      </c>
      <c r="G325" s="8">
        <v>324</v>
      </c>
      <c r="H325" s="9" t="s">
        <v>21</v>
      </c>
      <c r="I325" s="9">
        <f t="shared" si="21"/>
        <v>59</v>
      </c>
      <c r="J325" s="9">
        <f t="shared" si="20"/>
        <v>5</v>
      </c>
      <c r="K325" s="10" t="str">
        <f t="shared" si="22"/>
        <v>S1R59B5</v>
      </c>
      <c r="L325" s="10" t="s">
        <v>22</v>
      </c>
      <c r="M325" s="10">
        <f>IF(Table1[[#This Row],[ID ROW]]&lt;=12,Table1[[#This Row],[ID ROW]],Table1[[#This Row],[ID ROW]]+INT((Table1[[#This Row],[ID ROW]]-1)/12)*2)</f>
        <v>67</v>
      </c>
      <c r="N325" s="10" t="str">
        <f t="shared" si="23"/>
        <v>RSR67B5</v>
      </c>
      <c r="O325" s="10">
        <f>IF(Table1[[#This Row],[ID ROW]]&lt;=12,1,INT((Table1[[#This Row],[ID ROW]]-1)/12)+1)</f>
        <v>5</v>
      </c>
      <c r="P325" s="10">
        <f>Table1[[#This Row],[ID ROW]]-((Table1[[#This Row],[SECT]]-1)*12)</f>
        <v>11</v>
      </c>
    </row>
    <row r="326" spans="1:16" ht="15.75" customHeight="1" x14ac:dyDescent="0.25">
      <c r="A326" s="6" t="s">
        <v>1180</v>
      </c>
      <c r="B326" s="6" t="s">
        <v>296</v>
      </c>
      <c r="C326" s="6" t="s">
        <v>1181</v>
      </c>
      <c r="D326" s="6" t="s">
        <v>1182</v>
      </c>
      <c r="F326" s="7" t="s">
        <v>1183</v>
      </c>
      <c r="G326" s="8">
        <v>325</v>
      </c>
      <c r="H326" s="9" t="s">
        <v>21</v>
      </c>
      <c r="I326" s="9">
        <f t="shared" si="21"/>
        <v>59</v>
      </c>
      <c r="J326" s="9">
        <f t="shared" si="20"/>
        <v>6</v>
      </c>
      <c r="K326" s="10" t="str">
        <f t="shared" si="22"/>
        <v>S1R59B6</v>
      </c>
      <c r="L326" s="10" t="s">
        <v>22</v>
      </c>
      <c r="M326" s="10">
        <f>IF(Table1[[#This Row],[ID ROW]]&lt;=12,Table1[[#This Row],[ID ROW]],Table1[[#This Row],[ID ROW]]+INT((Table1[[#This Row],[ID ROW]]-1)/12)*2)</f>
        <v>67</v>
      </c>
      <c r="N326" s="10" t="str">
        <f t="shared" si="23"/>
        <v>RSR67B6</v>
      </c>
      <c r="O326" s="10">
        <f>IF(Table1[[#This Row],[ID ROW]]&lt;=12,1,INT((Table1[[#This Row],[ID ROW]]-1)/12)+1)</f>
        <v>5</v>
      </c>
      <c r="P326" s="10">
        <f>Table1[[#This Row],[ID ROW]]-((Table1[[#This Row],[SECT]]-1)*12)</f>
        <v>11</v>
      </c>
    </row>
    <row r="327" spans="1:16" ht="15.75" customHeight="1" x14ac:dyDescent="0.3">
      <c r="A327" s="6" t="s">
        <v>1184</v>
      </c>
      <c r="B327" s="6" t="s">
        <v>1185</v>
      </c>
      <c r="C327" s="6" t="s">
        <v>1186</v>
      </c>
      <c r="D327" s="6" t="s">
        <v>1187</v>
      </c>
      <c r="F327" s="13" t="s">
        <v>1188</v>
      </c>
      <c r="G327" s="8">
        <v>326</v>
      </c>
      <c r="H327" s="9" t="s">
        <v>21</v>
      </c>
      <c r="I327" s="9">
        <f t="shared" si="21"/>
        <v>60</v>
      </c>
      <c r="J327" s="9">
        <f t="shared" si="20"/>
        <v>1</v>
      </c>
      <c r="K327" s="10" t="str">
        <f t="shared" si="22"/>
        <v>S1R60B1</v>
      </c>
      <c r="L327" s="10" t="s">
        <v>22</v>
      </c>
      <c r="M327" s="10">
        <f>IF(Table1[[#This Row],[ID ROW]]&lt;=12,Table1[[#This Row],[ID ROW]],Table1[[#This Row],[ID ROW]]+INT((Table1[[#This Row],[ID ROW]]-1)/12)*2)</f>
        <v>68</v>
      </c>
      <c r="N327" s="10" t="str">
        <f t="shared" si="23"/>
        <v>RSR68B1</v>
      </c>
      <c r="O327" s="10">
        <f>IF(Table1[[#This Row],[ID ROW]]&lt;=12,1,INT((Table1[[#This Row],[ID ROW]]-1)/12)+1)</f>
        <v>5</v>
      </c>
      <c r="P327" s="10">
        <f>Table1[[#This Row],[ID ROW]]-((Table1[[#This Row],[SECT]]-1)*12)</f>
        <v>12</v>
      </c>
    </row>
    <row r="328" spans="1:16" ht="15.75" customHeight="1" x14ac:dyDescent="0.25">
      <c r="A328" s="6" t="s">
        <v>1189</v>
      </c>
      <c r="B328" s="6" t="s">
        <v>1190</v>
      </c>
      <c r="C328" s="6" t="s">
        <v>1191</v>
      </c>
      <c r="D328" s="6" t="s">
        <v>1192</v>
      </c>
      <c r="F328" s="7" t="s">
        <v>1193</v>
      </c>
      <c r="G328" s="8">
        <v>327</v>
      </c>
      <c r="H328" s="9" t="s">
        <v>21</v>
      </c>
      <c r="I328" s="9">
        <f t="shared" si="21"/>
        <v>60</v>
      </c>
      <c r="J328" s="9">
        <f t="shared" si="20"/>
        <v>2</v>
      </c>
      <c r="K328" s="10" t="str">
        <f t="shared" si="22"/>
        <v>S1R60B2</v>
      </c>
      <c r="L328" s="10" t="s">
        <v>22</v>
      </c>
      <c r="M328" s="10">
        <f>IF(Table1[[#This Row],[ID ROW]]&lt;=12,Table1[[#This Row],[ID ROW]],Table1[[#This Row],[ID ROW]]+INT((Table1[[#This Row],[ID ROW]]-1)/12)*2)</f>
        <v>68</v>
      </c>
      <c r="N328" s="10" t="str">
        <f t="shared" si="23"/>
        <v>RSR68B2</v>
      </c>
      <c r="O328" s="10">
        <f>IF(Table1[[#This Row],[ID ROW]]&lt;=12,1,INT((Table1[[#This Row],[ID ROW]]-1)/12)+1)</f>
        <v>5</v>
      </c>
      <c r="P328" s="10">
        <f>Table1[[#This Row],[ID ROW]]-((Table1[[#This Row],[SECT]]-1)*12)</f>
        <v>12</v>
      </c>
    </row>
    <row r="329" spans="1:16" ht="15.75" customHeight="1" x14ac:dyDescent="0.3">
      <c r="A329" s="6" t="s">
        <v>1194</v>
      </c>
      <c r="B329" s="6" t="s">
        <v>1195</v>
      </c>
      <c r="C329" s="6" t="s">
        <v>1196</v>
      </c>
      <c r="D329" s="6" t="s">
        <v>1197</v>
      </c>
      <c r="F329" s="13" t="s">
        <v>1193</v>
      </c>
      <c r="G329" s="8">
        <v>328</v>
      </c>
      <c r="H329" s="9" t="s">
        <v>21</v>
      </c>
      <c r="I329" s="9">
        <f t="shared" si="21"/>
        <v>60</v>
      </c>
      <c r="J329" s="9">
        <f t="shared" si="20"/>
        <v>3</v>
      </c>
      <c r="K329" s="10" t="str">
        <f t="shared" si="22"/>
        <v>S1R60B3</v>
      </c>
      <c r="L329" s="10" t="s">
        <v>22</v>
      </c>
      <c r="M329" s="10">
        <f>IF(Table1[[#This Row],[ID ROW]]&lt;=12,Table1[[#This Row],[ID ROW]],Table1[[#This Row],[ID ROW]]+INT((Table1[[#This Row],[ID ROW]]-1)/12)*2)</f>
        <v>68</v>
      </c>
      <c r="N329" s="10" t="str">
        <f t="shared" si="23"/>
        <v>RSR68B3</v>
      </c>
      <c r="O329" s="10">
        <f>IF(Table1[[#This Row],[ID ROW]]&lt;=12,1,INT((Table1[[#This Row],[ID ROW]]-1)/12)+1)</f>
        <v>5</v>
      </c>
      <c r="P329" s="10">
        <f>Table1[[#This Row],[ID ROW]]-((Table1[[#This Row],[SECT]]-1)*12)</f>
        <v>12</v>
      </c>
    </row>
    <row r="330" spans="1:16" ht="15.75" customHeight="1" x14ac:dyDescent="0.25">
      <c r="A330" s="6" t="s">
        <v>1198</v>
      </c>
      <c r="B330" s="6" t="s">
        <v>1199</v>
      </c>
      <c r="C330" s="6" t="s">
        <v>1200</v>
      </c>
      <c r="D330" s="6" t="s">
        <v>1201</v>
      </c>
      <c r="F330" s="7" t="s">
        <v>1202</v>
      </c>
      <c r="G330" s="8">
        <v>329</v>
      </c>
      <c r="H330" s="9" t="s">
        <v>21</v>
      </c>
      <c r="I330" s="9">
        <f t="shared" si="21"/>
        <v>60</v>
      </c>
      <c r="J330" s="9">
        <f t="shared" si="20"/>
        <v>4</v>
      </c>
      <c r="K330" s="10" t="str">
        <f t="shared" si="22"/>
        <v>S1R60B4</v>
      </c>
      <c r="L330" s="10" t="s">
        <v>22</v>
      </c>
      <c r="M330" s="10">
        <f>IF(Table1[[#This Row],[ID ROW]]&lt;=12,Table1[[#This Row],[ID ROW]],Table1[[#This Row],[ID ROW]]+INT((Table1[[#This Row],[ID ROW]]-1)/12)*2)</f>
        <v>68</v>
      </c>
      <c r="N330" s="10" t="str">
        <f t="shared" si="23"/>
        <v>RSR68B4</v>
      </c>
      <c r="O330" s="10">
        <f>IF(Table1[[#This Row],[ID ROW]]&lt;=12,1,INT((Table1[[#This Row],[ID ROW]]-1)/12)+1)</f>
        <v>5</v>
      </c>
      <c r="P330" s="10">
        <f>Table1[[#This Row],[ID ROW]]-((Table1[[#This Row],[SECT]]-1)*12)</f>
        <v>12</v>
      </c>
    </row>
    <row r="331" spans="1:16" ht="15.75" customHeight="1" x14ac:dyDescent="0.3">
      <c r="A331" s="6" t="s">
        <v>1203</v>
      </c>
      <c r="B331" s="6" t="s">
        <v>338</v>
      </c>
      <c r="C331" s="6" t="s">
        <v>364</v>
      </c>
      <c r="D331" s="6" t="s">
        <v>1204</v>
      </c>
      <c r="F331" s="13" t="s">
        <v>1205</v>
      </c>
      <c r="G331" s="8">
        <v>330</v>
      </c>
      <c r="H331" s="9" t="s">
        <v>21</v>
      </c>
      <c r="I331" s="9">
        <f t="shared" si="21"/>
        <v>60</v>
      </c>
      <c r="J331" s="9">
        <f t="shared" si="20"/>
        <v>5</v>
      </c>
      <c r="K331" s="10" t="str">
        <f t="shared" si="22"/>
        <v>S1R60B5</v>
      </c>
      <c r="L331" s="10" t="s">
        <v>22</v>
      </c>
      <c r="M331" s="10">
        <f>IF(Table1[[#This Row],[ID ROW]]&lt;=12,Table1[[#This Row],[ID ROW]],Table1[[#This Row],[ID ROW]]+INT((Table1[[#This Row],[ID ROW]]-1)/12)*2)</f>
        <v>68</v>
      </c>
      <c r="N331" s="10" t="str">
        <f t="shared" si="23"/>
        <v>RSR68B5</v>
      </c>
      <c r="O331" s="10">
        <f>IF(Table1[[#This Row],[ID ROW]]&lt;=12,1,INT((Table1[[#This Row],[ID ROW]]-1)/12)+1)</f>
        <v>5</v>
      </c>
      <c r="P331" s="10">
        <f>Table1[[#This Row],[ID ROW]]-((Table1[[#This Row],[SECT]]-1)*12)</f>
        <v>12</v>
      </c>
    </row>
    <row r="332" spans="1:16" s="18" customFormat="1" ht="15.75" customHeight="1" x14ac:dyDescent="0.25">
      <c r="A332" s="18" t="s">
        <v>1206</v>
      </c>
      <c r="B332" s="18" t="s">
        <v>80</v>
      </c>
      <c r="C332" s="18" t="s">
        <v>39</v>
      </c>
      <c r="D332" s="18" t="s">
        <v>1207</v>
      </c>
      <c r="F332" s="7"/>
      <c r="G332" s="8">
        <v>331</v>
      </c>
      <c r="H332" s="9" t="s">
        <v>21</v>
      </c>
      <c r="I332" s="9">
        <f t="shared" si="21"/>
        <v>61</v>
      </c>
      <c r="J332" s="9">
        <f t="shared" si="20"/>
        <v>1</v>
      </c>
      <c r="K332" s="10" t="str">
        <f t="shared" si="22"/>
        <v>S1R61B1</v>
      </c>
      <c r="L332" s="10" t="s">
        <v>22</v>
      </c>
      <c r="M332" s="10">
        <f>IF(Table1[[#This Row],[ID ROW]]&lt;=12,Table1[[#This Row],[ID ROW]],Table1[[#This Row],[ID ROW]]+INT((Table1[[#This Row],[ID ROW]]-1)/12)*2)</f>
        <v>71</v>
      </c>
      <c r="N332" s="10" t="str">
        <f t="shared" si="23"/>
        <v>RSR71B1</v>
      </c>
      <c r="O332" s="10">
        <f>IF(Table1[[#This Row],[ID ROW]]&lt;=12,1,INT((Table1[[#This Row],[ID ROW]]-1)/12)+1)</f>
        <v>6</v>
      </c>
      <c r="P332" s="10">
        <f>Table1[[#This Row],[ID ROW]]-((Table1[[#This Row],[SECT]]-1)*12)</f>
        <v>1</v>
      </c>
    </row>
    <row r="333" spans="1:16" ht="15.75" customHeight="1" x14ac:dyDescent="0.3">
      <c r="A333" s="6" t="s">
        <v>165</v>
      </c>
      <c r="B333" s="6" t="s">
        <v>1208</v>
      </c>
      <c r="C333" s="6" t="s">
        <v>1209</v>
      </c>
      <c r="D333" s="6" t="s">
        <v>1210</v>
      </c>
      <c r="F333" s="13"/>
      <c r="G333" s="8">
        <v>332</v>
      </c>
      <c r="H333" s="9" t="s">
        <v>21</v>
      </c>
      <c r="I333" s="9">
        <f t="shared" si="21"/>
        <v>61</v>
      </c>
      <c r="J333" s="9">
        <f t="shared" si="20"/>
        <v>2</v>
      </c>
      <c r="K333" s="10" t="str">
        <f t="shared" si="22"/>
        <v>S1R61B2</v>
      </c>
      <c r="L333" s="10" t="s">
        <v>22</v>
      </c>
      <c r="M333" s="10">
        <f>IF(Table1[[#This Row],[ID ROW]]&lt;=12,Table1[[#This Row],[ID ROW]],Table1[[#This Row],[ID ROW]]+INT((Table1[[#This Row],[ID ROW]]-1)/12)*2)</f>
        <v>71</v>
      </c>
      <c r="N333" s="10" t="str">
        <f t="shared" si="23"/>
        <v>RSR71B2</v>
      </c>
      <c r="O333" s="10">
        <f>IF(Table1[[#This Row],[ID ROW]]&lt;=12,1,INT((Table1[[#This Row],[ID ROW]]-1)/12)+1)</f>
        <v>6</v>
      </c>
      <c r="P333" s="10">
        <f>Table1[[#This Row],[ID ROW]]-((Table1[[#This Row],[SECT]]-1)*12)</f>
        <v>1</v>
      </c>
    </row>
    <row r="334" spans="1:16" ht="15.75" customHeight="1" x14ac:dyDescent="0.25">
      <c r="A334" s="6" t="s">
        <v>1211</v>
      </c>
      <c r="B334" s="6" t="s">
        <v>150</v>
      </c>
      <c r="C334" s="6" t="s">
        <v>52</v>
      </c>
      <c r="F334" s="7"/>
      <c r="G334" s="8">
        <v>333</v>
      </c>
      <c r="H334" s="9" t="s">
        <v>21</v>
      </c>
      <c r="I334" s="9">
        <f t="shared" si="21"/>
        <v>61</v>
      </c>
      <c r="J334" s="9">
        <f t="shared" si="20"/>
        <v>3</v>
      </c>
      <c r="K334" s="10" t="str">
        <f t="shared" si="22"/>
        <v>S1R61B3</v>
      </c>
      <c r="L334" s="10" t="s">
        <v>22</v>
      </c>
      <c r="M334" s="10">
        <f>IF(Table1[[#This Row],[ID ROW]]&lt;=12,Table1[[#This Row],[ID ROW]],Table1[[#This Row],[ID ROW]]+INT((Table1[[#This Row],[ID ROW]]-1)/12)*2)</f>
        <v>71</v>
      </c>
      <c r="N334" s="10" t="str">
        <f t="shared" si="23"/>
        <v>RSR71B3</v>
      </c>
      <c r="O334" s="10">
        <f>IF(Table1[[#This Row],[ID ROW]]&lt;=12,1,INT((Table1[[#This Row],[ID ROW]]-1)/12)+1)</f>
        <v>6</v>
      </c>
      <c r="P334" s="10">
        <f>Table1[[#This Row],[ID ROW]]-((Table1[[#This Row],[SECT]]-1)*12)</f>
        <v>1</v>
      </c>
    </row>
    <row r="335" spans="1:16" ht="15.75" customHeight="1" x14ac:dyDescent="0.3">
      <c r="A335" s="6" t="s">
        <v>43</v>
      </c>
      <c r="B335" s="6" t="s">
        <v>1212</v>
      </c>
      <c r="C335" s="6" t="s">
        <v>1213</v>
      </c>
      <c r="D335" s="6" t="s">
        <v>67</v>
      </c>
      <c r="F335" s="13"/>
      <c r="G335" s="8">
        <v>334</v>
      </c>
      <c r="H335" s="9" t="s">
        <v>21</v>
      </c>
      <c r="I335" s="9">
        <f t="shared" si="21"/>
        <v>61</v>
      </c>
      <c r="J335" s="9">
        <f t="shared" si="20"/>
        <v>4</v>
      </c>
      <c r="K335" s="10" t="str">
        <f t="shared" si="22"/>
        <v>S1R61B4</v>
      </c>
      <c r="L335" s="10" t="s">
        <v>22</v>
      </c>
      <c r="M335" s="10">
        <f>IF(Table1[[#This Row],[ID ROW]]&lt;=12,Table1[[#This Row],[ID ROW]],Table1[[#This Row],[ID ROW]]+INT((Table1[[#This Row],[ID ROW]]-1)/12)*2)</f>
        <v>71</v>
      </c>
      <c r="N335" s="10" t="str">
        <f t="shared" si="23"/>
        <v>RSR71B4</v>
      </c>
      <c r="O335" s="10">
        <f>IF(Table1[[#This Row],[ID ROW]]&lt;=12,1,INT((Table1[[#This Row],[ID ROW]]-1)/12)+1)</f>
        <v>6</v>
      </c>
      <c r="P335" s="10">
        <f>Table1[[#This Row],[ID ROW]]-((Table1[[#This Row],[SECT]]-1)*12)</f>
        <v>1</v>
      </c>
    </row>
    <row r="336" spans="1:16" ht="15.75" customHeight="1" x14ac:dyDescent="0.25">
      <c r="A336" s="6" t="s">
        <v>1214</v>
      </c>
      <c r="B336" s="6" t="s">
        <v>1215</v>
      </c>
      <c r="C336" s="6" t="s">
        <v>61</v>
      </c>
      <c r="D336" s="6" t="s">
        <v>1216</v>
      </c>
      <c r="F336" s="7"/>
      <c r="G336" s="8">
        <v>335</v>
      </c>
      <c r="H336" s="9" t="s">
        <v>21</v>
      </c>
      <c r="I336" s="9">
        <f t="shared" si="21"/>
        <v>61</v>
      </c>
      <c r="J336" s="9">
        <f t="shared" si="20"/>
        <v>5</v>
      </c>
      <c r="K336" s="10" t="str">
        <f t="shared" si="22"/>
        <v>S1R61B5</v>
      </c>
      <c r="L336" s="10" t="s">
        <v>22</v>
      </c>
      <c r="M336" s="10">
        <f>IF(Table1[[#This Row],[ID ROW]]&lt;=12,Table1[[#This Row],[ID ROW]],Table1[[#This Row],[ID ROW]]+INT((Table1[[#This Row],[ID ROW]]-1)/12)*2)</f>
        <v>71</v>
      </c>
      <c r="N336" s="10" t="str">
        <f t="shared" si="23"/>
        <v>RSR71B5</v>
      </c>
      <c r="O336" s="10">
        <f>IF(Table1[[#This Row],[ID ROW]]&lt;=12,1,INT((Table1[[#This Row],[ID ROW]]-1)/12)+1)</f>
        <v>6</v>
      </c>
      <c r="P336" s="10">
        <f>Table1[[#This Row],[ID ROW]]-((Table1[[#This Row],[SECT]]-1)*12)</f>
        <v>1</v>
      </c>
    </row>
    <row r="337" spans="1:16" ht="15.75" customHeight="1" x14ac:dyDescent="0.3">
      <c r="A337" s="6" t="s">
        <v>1217</v>
      </c>
      <c r="B337" s="6" t="s">
        <v>150</v>
      </c>
      <c r="C337" s="6" t="s">
        <v>1218</v>
      </c>
      <c r="D337" s="6" t="s">
        <v>1219</v>
      </c>
      <c r="F337" s="13"/>
      <c r="G337" s="8">
        <v>336</v>
      </c>
      <c r="H337" s="9" t="s">
        <v>21</v>
      </c>
      <c r="I337" s="9">
        <f t="shared" si="21"/>
        <v>61</v>
      </c>
      <c r="J337" s="9">
        <f t="shared" si="20"/>
        <v>6</v>
      </c>
      <c r="K337" s="10" t="str">
        <f t="shared" si="22"/>
        <v>S1R61B6</v>
      </c>
      <c r="L337" s="10" t="s">
        <v>22</v>
      </c>
      <c r="M337" s="10">
        <f>IF(Table1[[#This Row],[ID ROW]]&lt;=12,Table1[[#This Row],[ID ROW]],Table1[[#This Row],[ID ROW]]+INT((Table1[[#This Row],[ID ROW]]-1)/12)*2)</f>
        <v>71</v>
      </c>
      <c r="N337" s="10" t="str">
        <f t="shared" si="23"/>
        <v>RSR71B6</v>
      </c>
      <c r="O337" s="10">
        <f>IF(Table1[[#This Row],[ID ROW]]&lt;=12,1,INT((Table1[[#This Row],[ID ROW]]-1)/12)+1)</f>
        <v>6</v>
      </c>
      <c r="P337" s="10">
        <f>Table1[[#This Row],[ID ROW]]-((Table1[[#This Row],[SECT]]-1)*12)</f>
        <v>1</v>
      </c>
    </row>
    <row r="338" spans="1:16" ht="15.75" customHeight="1" x14ac:dyDescent="0.25">
      <c r="A338" s="6" t="s">
        <v>1220</v>
      </c>
      <c r="B338" s="6" t="s">
        <v>1221</v>
      </c>
      <c r="C338" s="6" t="s">
        <v>1222</v>
      </c>
      <c r="D338" s="6" t="s">
        <v>1223</v>
      </c>
      <c r="F338" s="7"/>
      <c r="G338" s="8">
        <v>337</v>
      </c>
      <c r="H338" s="9" t="s">
        <v>21</v>
      </c>
      <c r="I338" s="9">
        <f t="shared" si="21"/>
        <v>62</v>
      </c>
      <c r="J338" s="9">
        <f t="shared" si="20"/>
        <v>1</v>
      </c>
      <c r="K338" s="10" t="str">
        <f t="shared" si="22"/>
        <v>S1R62B1</v>
      </c>
      <c r="L338" s="10" t="s">
        <v>22</v>
      </c>
      <c r="M338" s="10">
        <f>IF(Table1[[#This Row],[ID ROW]]&lt;=12,Table1[[#This Row],[ID ROW]],Table1[[#This Row],[ID ROW]]+INT((Table1[[#This Row],[ID ROW]]-1)/12)*2)</f>
        <v>72</v>
      </c>
      <c r="N338" s="10" t="str">
        <f t="shared" si="23"/>
        <v>RSR72B1</v>
      </c>
      <c r="O338" s="10">
        <f>IF(Table1[[#This Row],[ID ROW]]&lt;=12,1,INT((Table1[[#This Row],[ID ROW]]-1)/12)+1)</f>
        <v>6</v>
      </c>
      <c r="P338" s="10">
        <f>Table1[[#This Row],[ID ROW]]-((Table1[[#This Row],[SECT]]-1)*12)</f>
        <v>2</v>
      </c>
    </row>
    <row r="339" spans="1:16" ht="15.75" customHeight="1" x14ac:dyDescent="0.3">
      <c r="A339" s="6" t="s">
        <v>1224</v>
      </c>
      <c r="B339" s="6" t="s">
        <v>1225</v>
      </c>
      <c r="C339" s="6" t="s">
        <v>1226</v>
      </c>
      <c r="D339" s="6" t="s">
        <v>1227</v>
      </c>
      <c r="F339" s="13"/>
      <c r="G339" s="8">
        <v>338</v>
      </c>
      <c r="H339" s="9" t="s">
        <v>21</v>
      </c>
      <c r="I339" s="9">
        <f t="shared" si="21"/>
        <v>62</v>
      </c>
      <c r="J339" s="9">
        <f t="shared" si="20"/>
        <v>2</v>
      </c>
      <c r="K339" s="10" t="str">
        <f t="shared" si="22"/>
        <v>S1R62B2</v>
      </c>
      <c r="L339" s="10" t="s">
        <v>22</v>
      </c>
      <c r="M339" s="10">
        <f>IF(Table1[[#This Row],[ID ROW]]&lt;=12,Table1[[#This Row],[ID ROW]],Table1[[#This Row],[ID ROW]]+INT((Table1[[#This Row],[ID ROW]]-1)/12)*2)</f>
        <v>72</v>
      </c>
      <c r="N339" s="10" t="str">
        <f t="shared" si="23"/>
        <v>RSR72B2</v>
      </c>
      <c r="O339" s="10">
        <f>IF(Table1[[#This Row],[ID ROW]]&lt;=12,1,INT((Table1[[#This Row],[ID ROW]]-1)/12)+1)</f>
        <v>6</v>
      </c>
      <c r="P339" s="10">
        <f>Table1[[#This Row],[ID ROW]]-((Table1[[#This Row],[SECT]]-1)*12)</f>
        <v>2</v>
      </c>
    </row>
    <row r="340" spans="1:16" ht="15.75" customHeight="1" x14ac:dyDescent="0.25">
      <c r="A340" s="6" t="s">
        <v>1228</v>
      </c>
      <c r="B340" s="6" t="s">
        <v>1229</v>
      </c>
      <c r="F340" s="7"/>
      <c r="G340" s="8">
        <v>339</v>
      </c>
      <c r="H340" s="9" t="s">
        <v>21</v>
      </c>
      <c r="I340" s="9">
        <f t="shared" si="21"/>
        <v>62</v>
      </c>
      <c r="J340" s="9">
        <f t="shared" si="20"/>
        <v>3</v>
      </c>
      <c r="K340" s="10" t="str">
        <f t="shared" si="22"/>
        <v>S1R62B3</v>
      </c>
      <c r="L340" s="10" t="s">
        <v>22</v>
      </c>
      <c r="M340" s="10">
        <f>IF(Table1[[#This Row],[ID ROW]]&lt;=12,Table1[[#This Row],[ID ROW]],Table1[[#This Row],[ID ROW]]+INT((Table1[[#This Row],[ID ROW]]-1)/12)*2)</f>
        <v>72</v>
      </c>
      <c r="N340" s="10" t="str">
        <f t="shared" si="23"/>
        <v>RSR72B3</v>
      </c>
      <c r="O340" s="10">
        <f>IF(Table1[[#This Row],[ID ROW]]&lt;=12,1,INT((Table1[[#This Row],[ID ROW]]-1)/12)+1)</f>
        <v>6</v>
      </c>
      <c r="P340" s="10">
        <f>Table1[[#This Row],[ID ROW]]-((Table1[[#This Row],[SECT]]-1)*12)</f>
        <v>2</v>
      </c>
    </row>
    <row r="341" spans="1:16" ht="15.75" customHeight="1" x14ac:dyDescent="0.3">
      <c r="A341" s="6" t="s">
        <v>1230</v>
      </c>
      <c r="B341" s="6" t="s">
        <v>1231</v>
      </c>
      <c r="C341" s="6" t="s">
        <v>1232</v>
      </c>
      <c r="D341" s="6" t="s">
        <v>1233</v>
      </c>
      <c r="F341" s="13"/>
      <c r="G341" s="8">
        <v>340</v>
      </c>
      <c r="H341" s="9" t="s">
        <v>21</v>
      </c>
      <c r="I341" s="9">
        <f t="shared" si="21"/>
        <v>62</v>
      </c>
      <c r="J341" s="9">
        <f t="shared" si="20"/>
        <v>4</v>
      </c>
      <c r="K341" s="10" t="str">
        <f t="shared" si="22"/>
        <v>S1R62B4</v>
      </c>
      <c r="L341" s="10" t="s">
        <v>22</v>
      </c>
      <c r="M341" s="10">
        <f>IF(Table1[[#This Row],[ID ROW]]&lt;=12,Table1[[#This Row],[ID ROW]],Table1[[#This Row],[ID ROW]]+INT((Table1[[#This Row],[ID ROW]]-1)/12)*2)</f>
        <v>72</v>
      </c>
      <c r="N341" s="10" t="str">
        <f t="shared" si="23"/>
        <v>RSR72B4</v>
      </c>
      <c r="O341" s="10">
        <f>IF(Table1[[#This Row],[ID ROW]]&lt;=12,1,INT((Table1[[#This Row],[ID ROW]]-1)/12)+1)</f>
        <v>6</v>
      </c>
      <c r="P341" s="10">
        <f>Table1[[#This Row],[ID ROW]]-((Table1[[#This Row],[SECT]]-1)*12)</f>
        <v>2</v>
      </c>
    </row>
    <row r="342" spans="1:16" ht="15.75" customHeight="1" x14ac:dyDescent="0.25">
      <c r="A342" s="6" t="s">
        <v>1234</v>
      </c>
      <c r="B342" s="6" t="s">
        <v>1235</v>
      </c>
      <c r="C342" s="6" t="s">
        <v>1236</v>
      </c>
      <c r="F342" s="7"/>
      <c r="G342" s="8">
        <v>341</v>
      </c>
      <c r="H342" s="9" t="s">
        <v>21</v>
      </c>
      <c r="I342" s="9">
        <f t="shared" si="21"/>
        <v>62</v>
      </c>
      <c r="J342" s="9">
        <f t="shared" si="20"/>
        <v>5</v>
      </c>
      <c r="K342" s="10" t="str">
        <f t="shared" si="22"/>
        <v>S1R62B5</v>
      </c>
      <c r="L342" s="10" t="s">
        <v>22</v>
      </c>
      <c r="M342" s="10">
        <f>IF(Table1[[#This Row],[ID ROW]]&lt;=12,Table1[[#This Row],[ID ROW]],Table1[[#This Row],[ID ROW]]+INT((Table1[[#This Row],[ID ROW]]-1)/12)*2)</f>
        <v>72</v>
      </c>
      <c r="N342" s="10" t="str">
        <f t="shared" si="23"/>
        <v>RSR72B5</v>
      </c>
      <c r="O342" s="10">
        <f>IF(Table1[[#This Row],[ID ROW]]&lt;=12,1,INT((Table1[[#This Row],[ID ROW]]-1)/12)+1)</f>
        <v>6</v>
      </c>
      <c r="P342" s="10">
        <f>Table1[[#This Row],[ID ROW]]-((Table1[[#This Row],[SECT]]-1)*12)</f>
        <v>2</v>
      </c>
    </row>
    <row r="343" spans="1:16" ht="15.75" customHeight="1" x14ac:dyDescent="0.3">
      <c r="A343" s="6" t="s">
        <v>1237</v>
      </c>
      <c r="B343" s="6" t="s">
        <v>106</v>
      </c>
      <c r="C343" s="6" t="s">
        <v>1238</v>
      </c>
      <c r="D343" s="15">
        <v>2016</v>
      </c>
      <c r="F343" s="13"/>
      <c r="G343" s="8">
        <v>342</v>
      </c>
      <c r="H343" s="9" t="s">
        <v>21</v>
      </c>
      <c r="I343" s="9">
        <f t="shared" si="21"/>
        <v>63</v>
      </c>
      <c r="J343" s="9">
        <f t="shared" si="20"/>
        <v>1</v>
      </c>
      <c r="K343" s="10" t="str">
        <f t="shared" si="22"/>
        <v>S1R63B1</v>
      </c>
      <c r="L343" s="10" t="s">
        <v>22</v>
      </c>
      <c r="M343" s="10">
        <f>IF(Table1[[#This Row],[ID ROW]]&lt;=12,Table1[[#This Row],[ID ROW]],Table1[[#This Row],[ID ROW]]+INT((Table1[[#This Row],[ID ROW]]-1)/12)*2)</f>
        <v>73</v>
      </c>
      <c r="N343" s="10" t="str">
        <f t="shared" si="23"/>
        <v>RSR73B1</v>
      </c>
      <c r="O343" s="10">
        <f>IF(Table1[[#This Row],[ID ROW]]&lt;=12,1,INT((Table1[[#This Row],[ID ROW]]-1)/12)+1)</f>
        <v>6</v>
      </c>
      <c r="P343" s="10">
        <f>Table1[[#This Row],[ID ROW]]-((Table1[[#This Row],[SECT]]-1)*12)</f>
        <v>3</v>
      </c>
    </row>
    <row r="344" spans="1:16" ht="15.75" customHeight="1" x14ac:dyDescent="0.25">
      <c r="A344" s="6" t="s">
        <v>1239</v>
      </c>
      <c r="B344" s="6" t="s">
        <v>1240</v>
      </c>
      <c r="C344" s="6" t="s">
        <v>1241</v>
      </c>
      <c r="F344" s="7"/>
      <c r="G344" s="8">
        <v>343</v>
      </c>
      <c r="H344" s="9" t="s">
        <v>21</v>
      </c>
      <c r="I344" s="9">
        <f t="shared" si="21"/>
        <v>63</v>
      </c>
      <c r="J344" s="9">
        <f t="shared" si="20"/>
        <v>2</v>
      </c>
      <c r="K344" s="10" t="str">
        <f t="shared" si="22"/>
        <v>S1R63B2</v>
      </c>
      <c r="L344" s="10" t="s">
        <v>22</v>
      </c>
      <c r="M344" s="10">
        <f>IF(Table1[[#This Row],[ID ROW]]&lt;=12,Table1[[#This Row],[ID ROW]],Table1[[#This Row],[ID ROW]]+INT((Table1[[#This Row],[ID ROW]]-1)/12)*2)</f>
        <v>73</v>
      </c>
      <c r="N344" s="10" t="str">
        <f t="shared" si="23"/>
        <v>RSR73B2</v>
      </c>
      <c r="O344" s="10">
        <f>IF(Table1[[#This Row],[ID ROW]]&lt;=12,1,INT((Table1[[#This Row],[ID ROW]]-1)/12)+1)</f>
        <v>6</v>
      </c>
      <c r="P344" s="10">
        <f>Table1[[#This Row],[ID ROW]]-((Table1[[#This Row],[SECT]]-1)*12)</f>
        <v>3</v>
      </c>
    </row>
    <row r="345" spans="1:16" ht="15.75" customHeight="1" x14ac:dyDescent="0.3">
      <c r="A345" s="6" t="s">
        <v>1242</v>
      </c>
      <c r="B345" s="6" t="s">
        <v>1243</v>
      </c>
      <c r="C345" s="6" t="s">
        <v>1244</v>
      </c>
      <c r="D345" s="6" t="s">
        <v>399</v>
      </c>
      <c r="F345" s="13"/>
      <c r="G345" s="8">
        <v>344</v>
      </c>
      <c r="H345" s="9" t="s">
        <v>21</v>
      </c>
      <c r="I345" s="9">
        <f t="shared" si="21"/>
        <v>63</v>
      </c>
      <c r="J345" s="9">
        <f t="shared" si="20"/>
        <v>3</v>
      </c>
      <c r="K345" s="10" t="str">
        <f t="shared" si="22"/>
        <v>S1R63B3</v>
      </c>
      <c r="L345" s="10" t="s">
        <v>22</v>
      </c>
      <c r="M345" s="10">
        <f>IF(Table1[[#This Row],[ID ROW]]&lt;=12,Table1[[#This Row],[ID ROW]],Table1[[#This Row],[ID ROW]]+INT((Table1[[#This Row],[ID ROW]]-1)/12)*2)</f>
        <v>73</v>
      </c>
      <c r="N345" s="10" t="str">
        <f t="shared" si="23"/>
        <v>RSR73B3</v>
      </c>
      <c r="O345" s="10">
        <f>IF(Table1[[#This Row],[ID ROW]]&lt;=12,1,INT((Table1[[#This Row],[ID ROW]]-1)/12)+1)</f>
        <v>6</v>
      </c>
      <c r="P345" s="10">
        <f>Table1[[#This Row],[ID ROW]]-((Table1[[#This Row],[SECT]]-1)*12)</f>
        <v>3</v>
      </c>
    </row>
    <row r="346" spans="1:16" ht="15.75" customHeight="1" x14ac:dyDescent="0.25">
      <c r="A346" s="6" t="s">
        <v>1245</v>
      </c>
      <c r="B346" s="6" t="s">
        <v>1246</v>
      </c>
      <c r="C346" s="6" t="s">
        <v>1247</v>
      </c>
      <c r="D346" s="6" t="s">
        <v>1248</v>
      </c>
      <c r="F346" s="7"/>
      <c r="G346" s="8">
        <v>345</v>
      </c>
      <c r="H346" s="9" t="s">
        <v>21</v>
      </c>
      <c r="I346" s="9">
        <f t="shared" si="21"/>
        <v>63</v>
      </c>
      <c r="J346" s="9">
        <f t="shared" si="20"/>
        <v>4</v>
      </c>
      <c r="K346" s="10" t="str">
        <f t="shared" si="22"/>
        <v>S1R63B4</v>
      </c>
      <c r="L346" s="10" t="s">
        <v>22</v>
      </c>
      <c r="M346" s="10">
        <f>IF(Table1[[#This Row],[ID ROW]]&lt;=12,Table1[[#This Row],[ID ROW]],Table1[[#This Row],[ID ROW]]+INT((Table1[[#This Row],[ID ROW]]-1)/12)*2)</f>
        <v>73</v>
      </c>
      <c r="N346" s="10" t="str">
        <f t="shared" si="23"/>
        <v>RSR73B4</v>
      </c>
      <c r="O346" s="10">
        <f>IF(Table1[[#This Row],[ID ROW]]&lt;=12,1,INT((Table1[[#This Row],[ID ROW]]-1)/12)+1)</f>
        <v>6</v>
      </c>
      <c r="P346" s="10">
        <f>Table1[[#This Row],[ID ROW]]-((Table1[[#This Row],[SECT]]-1)*12)</f>
        <v>3</v>
      </c>
    </row>
    <row r="347" spans="1:16" ht="15.75" customHeight="1" x14ac:dyDescent="0.3">
      <c r="A347" s="6" t="s">
        <v>1249</v>
      </c>
      <c r="B347" s="6" t="s">
        <v>1250</v>
      </c>
      <c r="C347" s="6" t="s">
        <v>1251</v>
      </c>
      <c r="D347" s="6" t="s">
        <v>1252</v>
      </c>
      <c r="F347" s="13"/>
      <c r="G347" s="8">
        <v>346</v>
      </c>
      <c r="H347" s="9" t="s">
        <v>21</v>
      </c>
      <c r="I347" s="9">
        <f t="shared" si="21"/>
        <v>63</v>
      </c>
      <c r="J347" s="9">
        <f t="shared" si="20"/>
        <v>5</v>
      </c>
      <c r="K347" s="10" t="str">
        <f t="shared" si="22"/>
        <v>S1R63B5</v>
      </c>
      <c r="L347" s="10" t="s">
        <v>22</v>
      </c>
      <c r="M347" s="10">
        <f>IF(Table1[[#This Row],[ID ROW]]&lt;=12,Table1[[#This Row],[ID ROW]],Table1[[#This Row],[ID ROW]]+INT((Table1[[#This Row],[ID ROW]]-1)/12)*2)</f>
        <v>73</v>
      </c>
      <c r="N347" s="10" t="str">
        <f t="shared" si="23"/>
        <v>RSR73B5</v>
      </c>
      <c r="O347" s="10">
        <f>IF(Table1[[#This Row],[ID ROW]]&lt;=12,1,INT((Table1[[#This Row],[ID ROW]]-1)/12)+1)</f>
        <v>6</v>
      </c>
      <c r="P347" s="10">
        <f>Table1[[#This Row],[ID ROW]]-((Table1[[#This Row],[SECT]]-1)*12)</f>
        <v>3</v>
      </c>
    </row>
    <row r="348" spans="1:16" ht="15.75" customHeight="1" x14ac:dyDescent="0.25">
      <c r="A348" s="6" t="s">
        <v>1253</v>
      </c>
      <c r="B348" s="6" t="s">
        <v>1254</v>
      </c>
      <c r="C348" s="6" t="s">
        <v>1236</v>
      </c>
      <c r="F348" s="7"/>
      <c r="G348" s="8">
        <v>347</v>
      </c>
      <c r="H348" s="9" t="s">
        <v>21</v>
      </c>
      <c r="I348" s="9">
        <f t="shared" si="21"/>
        <v>63</v>
      </c>
      <c r="J348" s="9">
        <f t="shared" si="20"/>
        <v>6</v>
      </c>
      <c r="K348" s="10" t="str">
        <f t="shared" si="22"/>
        <v>S1R63B6</v>
      </c>
      <c r="L348" s="10" t="s">
        <v>22</v>
      </c>
      <c r="M348" s="10">
        <f>IF(Table1[[#This Row],[ID ROW]]&lt;=12,Table1[[#This Row],[ID ROW]],Table1[[#This Row],[ID ROW]]+INT((Table1[[#This Row],[ID ROW]]-1)/12)*2)</f>
        <v>73</v>
      </c>
      <c r="N348" s="10" t="str">
        <f t="shared" si="23"/>
        <v>RSR73B6</v>
      </c>
      <c r="O348" s="10">
        <f>IF(Table1[[#This Row],[ID ROW]]&lt;=12,1,INT((Table1[[#This Row],[ID ROW]]-1)/12)+1)</f>
        <v>6</v>
      </c>
      <c r="P348" s="10">
        <f>Table1[[#This Row],[ID ROW]]-((Table1[[#This Row],[SECT]]-1)*12)</f>
        <v>3</v>
      </c>
    </row>
    <row r="349" spans="1:16" ht="15.75" customHeight="1" x14ac:dyDescent="0.3">
      <c r="A349" s="6" t="s">
        <v>1255</v>
      </c>
      <c r="B349" s="6" t="s">
        <v>1256</v>
      </c>
      <c r="C349" s="6" t="s">
        <v>923</v>
      </c>
      <c r="D349" s="6" t="s">
        <v>1216</v>
      </c>
      <c r="F349" s="13" t="s">
        <v>1257</v>
      </c>
      <c r="G349" s="8">
        <v>348</v>
      </c>
      <c r="H349" s="9" t="s">
        <v>21</v>
      </c>
      <c r="I349" s="9">
        <f t="shared" si="21"/>
        <v>64</v>
      </c>
      <c r="J349" s="9">
        <f t="shared" si="20"/>
        <v>1</v>
      </c>
      <c r="K349" s="10" t="str">
        <f t="shared" si="22"/>
        <v>S1R64B1</v>
      </c>
      <c r="L349" s="10" t="s">
        <v>22</v>
      </c>
      <c r="M349" s="10">
        <f>IF(Table1[[#This Row],[ID ROW]]&lt;=12,Table1[[#This Row],[ID ROW]],Table1[[#This Row],[ID ROW]]+INT((Table1[[#This Row],[ID ROW]]-1)/12)*2)</f>
        <v>74</v>
      </c>
      <c r="N349" s="10" t="str">
        <f t="shared" si="23"/>
        <v>RSR74B1</v>
      </c>
      <c r="O349" s="10">
        <f>IF(Table1[[#This Row],[ID ROW]]&lt;=12,1,INT((Table1[[#This Row],[ID ROW]]-1)/12)+1)</f>
        <v>6</v>
      </c>
      <c r="P349" s="10">
        <f>Table1[[#This Row],[ID ROW]]-((Table1[[#This Row],[SECT]]-1)*12)</f>
        <v>4</v>
      </c>
    </row>
    <row r="350" spans="1:16" ht="15.75" customHeight="1" x14ac:dyDescent="0.25">
      <c r="A350" s="6" t="s">
        <v>1258</v>
      </c>
      <c r="B350" s="6" t="s">
        <v>1259</v>
      </c>
      <c r="C350" s="6" t="s">
        <v>1260</v>
      </c>
      <c r="D350" s="6" t="s">
        <v>1261</v>
      </c>
      <c r="F350" s="7"/>
      <c r="G350" s="8">
        <v>349</v>
      </c>
      <c r="H350" s="9" t="s">
        <v>21</v>
      </c>
      <c r="I350" s="9">
        <f t="shared" si="21"/>
        <v>64</v>
      </c>
      <c r="J350" s="9">
        <f t="shared" si="20"/>
        <v>2</v>
      </c>
      <c r="K350" s="10" t="str">
        <f t="shared" si="22"/>
        <v>S1R64B2</v>
      </c>
      <c r="L350" s="10" t="s">
        <v>22</v>
      </c>
      <c r="M350" s="10">
        <f>IF(Table1[[#This Row],[ID ROW]]&lt;=12,Table1[[#This Row],[ID ROW]],Table1[[#This Row],[ID ROW]]+INT((Table1[[#This Row],[ID ROW]]-1)/12)*2)</f>
        <v>74</v>
      </c>
      <c r="N350" s="10" t="str">
        <f t="shared" si="23"/>
        <v>RSR74B2</v>
      </c>
      <c r="O350" s="10">
        <f>IF(Table1[[#This Row],[ID ROW]]&lt;=12,1,INT((Table1[[#This Row],[ID ROW]]-1)/12)+1)</f>
        <v>6</v>
      </c>
      <c r="P350" s="10">
        <f>Table1[[#This Row],[ID ROW]]-((Table1[[#This Row],[SECT]]-1)*12)</f>
        <v>4</v>
      </c>
    </row>
    <row r="351" spans="1:16" ht="15.75" customHeight="1" x14ac:dyDescent="0.3">
      <c r="A351" s="6" t="s">
        <v>1262</v>
      </c>
      <c r="B351" s="6" t="s">
        <v>1263</v>
      </c>
      <c r="C351" s="6" t="s">
        <v>1264</v>
      </c>
      <c r="D351" s="6" t="s">
        <v>52</v>
      </c>
      <c r="F351" s="13" t="s">
        <v>1265</v>
      </c>
      <c r="G351" s="8">
        <v>350</v>
      </c>
      <c r="H351" s="9" t="s">
        <v>21</v>
      </c>
      <c r="I351" s="9">
        <f t="shared" si="21"/>
        <v>64</v>
      </c>
      <c r="J351" s="9">
        <f t="shared" si="20"/>
        <v>3</v>
      </c>
      <c r="K351" s="10" t="str">
        <f t="shared" si="22"/>
        <v>S1R64B3</v>
      </c>
      <c r="L351" s="10" t="s">
        <v>22</v>
      </c>
      <c r="M351" s="10">
        <f>IF(Table1[[#This Row],[ID ROW]]&lt;=12,Table1[[#This Row],[ID ROW]],Table1[[#This Row],[ID ROW]]+INT((Table1[[#This Row],[ID ROW]]-1)/12)*2)</f>
        <v>74</v>
      </c>
      <c r="N351" s="10" t="str">
        <f t="shared" si="23"/>
        <v>RSR74B3</v>
      </c>
      <c r="O351" s="10">
        <f>IF(Table1[[#This Row],[ID ROW]]&lt;=12,1,INT((Table1[[#This Row],[ID ROW]]-1)/12)+1)</f>
        <v>6</v>
      </c>
      <c r="P351" s="10">
        <f>Table1[[#This Row],[ID ROW]]-((Table1[[#This Row],[SECT]]-1)*12)</f>
        <v>4</v>
      </c>
    </row>
    <row r="352" spans="1:16" ht="15.75" customHeight="1" x14ac:dyDescent="0.25">
      <c r="A352" s="6" t="s">
        <v>1266</v>
      </c>
      <c r="B352" s="6" t="s">
        <v>1267</v>
      </c>
      <c r="C352" s="6" t="s">
        <v>1268</v>
      </c>
      <c r="D352" s="6" t="s">
        <v>1269</v>
      </c>
      <c r="F352" s="7" t="s">
        <v>1270</v>
      </c>
      <c r="G352" s="8">
        <v>351</v>
      </c>
      <c r="H352" s="9" t="s">
        <v>21</v>
      </c>
      <c r="I352" s="9">
        <f t="shared" si="21"/>
        <v>64</v>
      </c>
      <c r="J352" s="9">
        <f t="shared" si="20"/>
        <v>4</v>
      </c>
      <c r="K352" s="10" t="str">
        <f t="shared" si="22"/>
        <v>S1R64B4</v>
      </c>
      <c r="L352" s="10" t="s">
        <v>22</v>
      </c>
      <c r="M352" s="10">
        <f>IF(Table1[[#This Row],[ID ROW]]&lt;=12,Table1[[#This Row],[ID ROW]],Table1[[#This Row],[ID ROW]]+INT((Table1[[#This Row],[ID ROW]]-1)/12)*2)</f>
        <v>74</v>
      </c>
      <c r="N352" s="10" t="str">
        <f t="shared" si="23"/>
        <v>RSR74B4</v>
      </c>
      <c r="O352" s="10">
        <f>IF(Table1[[#This Row],[ID ROW]]&lt;=12,1,INT((Table1[[#This Row],[ID ROW]]-1)/12)+1)</f>
        <v>6</v>
      </c>
      <c r="P352" s="10">
        <f>Table1[[#This Row],[ID ROW]]-((Table1[[#This Row],[SECT]]-1)*12)</f>
        <v>4</v>
      </c>
    </row>
    <row r="353" spans="1:16" ht="15.75" customHeight="1" x14ac:dyDescent="0.3">
      <c r="A353" s="6" t="s">
        <v>165</v>
      </c>
      <c r="B353" s="6" t="s">
        <v>1271</v>
      </c>
      <c r="C353" s="6" t="s">
        <v>1177</v>
      </c>
      <c r="D353" s="6" t="s">
        <v>1272</v>
      </c>
      <c r="F353" s="13" t="s">
        <v>1273</v>
      </c>
      <c r="G353" s="8">
        <v>352</v>
      </c>
      <c r="H353" s="9" t="s">
        <v>21</v>
      </c>
      <c r="I353" s="9">
        <f t="shared" si="21"/>
        <v>64</v>
      </c>
      <c r="J353" s="9">
        <f t="shared" si="20"/>
        <v>5</v>
      </c>
      <c r="K353" s="10" t="str">
        <f t="shared" si="22"/>
        <v>S1R64B5</v>
      </c>
      <c r="L353" s="10" t="s">
        <v>22</v>
      </c>
      <c r="M353" s="10">
        <f>IF(Table1[[#This Row],[ID ROW]]&lt;=12,Table1[[#This Row],[ID ROW]],Table1[[#This Row],[ID ROW]]+INT((Table1[[#This Row],[ID ROW]]-1)/12)*2)</f>
        <v>74</v>
      </c>
      <c r="N353" s="10" t="str">
        <f t="shared" si="23"/>
        <v>RSR74B5</v>
      </c>
      <c r="O353" s="10">
        <f>IF(Table1[[#This Row],[ID ROW]]&lt;=12,1,INT((Table1[[#This Row],[ID ROW]]-1)/12)+1)</f>
        <v>6</v>
      </c>
      <c r="P353" s="10">
        <f>Table1[[#This Row],[ID ROW]]-((Table1[[#This Row],[SECT]]-1)*12)</f>
        <v>4</v>
      </c>
    </row>
    <row r="354" spans="1:16" ht="15.75" customHeight="1" x14ac:dyDescent="0.25">
      <c r="A354" s="6" t="s">
        <v>1274</v>
      </c>
      <c r="B354" s="6" t="s">
        <v>1275</v>
      </c>
      <c r="C354" s="6" t="s">
        <v>1276</v>
      </c>
      <c r="D354" s="6" t="s">
        <v>1277</v>
      </c>
      <c r="F354" s="7" t="s">
        <v>1278</v>
      </c>
      <c r="G354" s="8">
        <v>353</v>
      </c>
      <c r="H354" s="9" t="s">
        <v>21</v>
      </c>
      <c r="I354" s="9">
        <f t="shared" si="21"/>
        <v>65</v>
      </c>
      <c r="J354" s="9">
        <f t="shared" si="20"/>
        <v>1</v>
      </c>
      <c r="K354" s="10" t="str">
        <f t="shared" si="22"/>
        <v>S1R65B1</v>
      </c>
      <c r="L354" s="10" t="s">
        <v>22</v>
      </c>
      <c r="M354" s="10">
        <f>IF(Table1[[#This Row],[ID ROW]]&lt;=12,Table1[[#This Row],[ID ROW]],Table1[[#This Row],[ID ROW]]+INT((Table1[[#This Row],[ID ROW]]-1)/12)*2)</f>
        <v>75</v>
      </c>
      <c r="N354" s="10" t="str">
        <f t="shared" si="23"/>
        <v>RSR75B1</v>
      </c>
      <c r="O354" s="10">
        <f>IF(Table1[[#This Row],[ID ROW]]&lt;=12,1,INT((Table1[[#This Row],[ID ROW]]-1)/12)+1)</f>
        <v>6</v>
      </c>
      <c r="P354" s="10">
        <f>Table1[[#This Row],[ID ROW]]-((Table1[[#This Row],[SECT]]-1)*12)</f>
        <v>5</v>
      </c>
    </row>
    <row r="355" spans="1:16" ht="15.75" customHeight="1" x14ac:dyDescent="0.3">
      <c r="A355" s="6" t="s">
        <v>1279</v>
      </c>
      <c r="B355" s="6" t="s">
        <v>1280</v>
      </c>
      <c r="C355" s="6" t="s">
        <v>1281</v>
      </c>
      <c r="D355" s="6" t="s">
        <v>1282</v>
      </c>
      <c r="F355" s="13" t="s">
        <v>1283</v>
      </c>
      <c r="G355" s="8">
        <v>354</v>
      </c>
      <c r="H355" s="9" t="s">
        <v>21</v>
      </c>
      <c r="I355" s="9">
        <f t="shared" si="21"/>
        <v>65</v>
      </c>
      <c r="J355" s="9">
        <f t="shared" si="20"/>
        <v>2</v>
      </c>
      <c r="K355" s="10" t="str">
        <f t="shared" si="22"/>
        <v>S1R65B2</v>
      </c>
      <c r="L355" s="10" t="s">
        <v>22</v>
      </c>
      <c r="M355" s="10">
        <f>IF(Table1[[#This Row],[ID ROW]]&lt;=12,Table1[[#This Row],[ID ROW]],Table1[[#This Row],[ID ROW]]+INT((Table1[[#This Row],[ID ROW]]-1)/12)*2)</f>
        <v>75</v>
      </c>
      <c r="N355" s="10" t="str">
        <f t="shared" si="23"/>
        <v>RSR75B2</v>
      </c>
      <c r="O355" s="10">
        <f>IF(Table1[[#This Row],[ID ROW]]&lt;=12,1,INT((Table1[[#This Row],[ID ROW]]-1)/12)+1)</f>
        <v>6</v>
      </c>
      <c r="P355" s="10">
        <f>Table1[[#This Row],[ID ROW]]-((Table1[[#This Row],[SECT]]-1)*12)</f>
        <v>5</v>
      </c>
    </row>
    <row r="356" spans="1:16" ht="15.75" customHeight="1" x14ac:dyDescent="0.25">
      <c r="A356" s="6" t="s">
        <v>1284</v>
      </c>
      <c r="B356" s="6" t="s">
        <v>1285</v>
      </c>
      <c r="C356" s="6" t="s">
        <v>1286</v>
      </c>
      <c r="D356" s="6" t="s">
        <v>1287</v>
      </c>
      <c r="F356" s="7" t="s">
        <v>1288</v>
      </c>
      <c r="G356" s="8">
        <v>355</v>
      </c>
      <c r="H356" s="9" t="s">
        <v>21</v>
      </c>
      <c r="I356" s="9">
        <f t="shared" si="21"/>
        <v>65</v>
      </c>
      <c r="J356" s="9">
        <f t="shared" si="20"/>
        <v>3</v>
      </c>
      <c r="K356" s="10" t="str">
        <f t="shared" si="22"/>
        <v>S1R65B3</v>
      </c>
      <c r="L356" s="10" t="s">
        <v>22</v>
      </c>
      <c r="M356" s="10">
        <f>IF(Table1[[#This Row],[ID ROW]]&lt;=12,Table1[[#This Row],[ID ROW]],Table1[[#This Row],[ID ROW]]+INT((Table1[[#This Row],[ID ROW]]-1)/12)*2)</f>
        <v>75</v>
      </c>
      <c r="N356" s="10" t="str">
        <f t="shared" si="23"/>
        <v>RSR75B3</v>
      </c>
      <c r="O356" s="10">
        <f>IF(Table1[[#This Row],[ID ROW]]&lt;=12,1,INT((Table1[[#This Row],[ID ROW]]-1)/12)+1)</f>
        <v>6</v>
      </c>
      <c r="P356" s="10">
        <f>Table1[[#This Row],[ID ROW]]-((Table1[[#This Row],[SECT]]-1)*12)</f>
        <v>5</v>
      </c>
    </row>
    <row r="357" spans="1:16" ht="15.75" customHeight="1" x14ac:dyDescent="0.3">
      <c r="A357" s="6" t="s">
        <v>1289</v>
      </c>
      <c r="B357" s="6" t="s">
        <v>1290</v>
      </c>
      <c r="C357" s="6" t="s">
        <v>117</v>
      </c>
      <c r="F357" s="13" t="s">
        <v>1257</v>
      </c>
      <c r="G357" s="8">
        <v>356</v>
      </c>
      <c r="H357" s="9" t="s">
        <v>21</v>
      </c>
      <c r="I357" s="9">
        <f t="shared" si="21"/>
        <v>65</v>
      </c>
      <c r="J357" s="9">
        <f t="shared" si="20"/>
        <v>4</v>
      </c>
      <c r="K357" s="10" t="str">
        <f t="shared" si="22"/>
        <v>S1R65B4</v>
      </c>
      <c r="L357" s="10" t="s">
        <v>22</v>
      </c>
      <c r="M357" s="10">
        <f>IF(Table1[[#This Row],[ID ROW]]&lt;=12,Table1[[#This Row],[ID ROW]],Table1[[#This Row],[ID ROW]]+INT((Table1[[#This Row],[ID ROW]]-1)/12)*2)</f>
        <v>75</v>
      </c>
      <c r="N357" s="10" t="str">
        <f t="shared" si="23"/>
        <v>RSR75B4</v>
      </c>
      <c r="O357" s="10">
        <f>IF(Table1[[#This Row],[ID ROW]]&lt;=12,1,INT((Table1[[#This Row],[ID ROW]]-1)/12)+1)</f>
        <v>6</v>
      </c>
      <c r="P357" s="10">
        <f>Table1[[#This Row],[ID ROW]]-((Table1[[#This Row],[SECT]]-1)*12)</f>
        <v>5</v>
      </c>
    </row>
    <row r="358" spans="1:16" ht="15.75" customHeight="1" x14ac:dyDescent="0.25">
      <c r="A358" s="6" t="s">
        <v>1291</v>
      </c>
      <c r="B358" s="6" t="s">
        <v>1292</v>
      </c>
      <c r="C358" s="6" t="s">
        <v>1282</v>
      </c>
      <c r="D358" s="6" t="s">
        <v>1293</v>
      </c>
      <c r="F358" s="7" t="s">
        <v>1257</v>
      </c>
      <c r="G358" s="8">
        <v>357</v>
      </c>
      <c r="H358" s="9" t="s">
        <v>21</v>
      </c>
      <c r="I358" s="9">
        <f t="shared" si="21"/>
        <v>65</v>
      </c>
      <c r="J358" s="9">
        <f t="shared" si="20"/>
        <v>5</v>
      </c>
      <c r="K358" s="10" t="str">
        <f t="shared" si="22"/>
        <v>S1R65B5</v>
      </c>
      <c r="L358" s="10" t="s">
        <v>22</v>
      </c>
      <c r="M358" s="10">
        <f>IF(Table1[[#This Row],[ID ROW]]&lt;=12,Table1[[#This Row],[ID ROW]],Table1[[#This Row],[ID ROW]]+INT((Table1[[#This Row],[ID ROW]]-1)/12)*2)</f>
        <v>75</v>
      </c>
      <c r="N358" s="10" t="str">
        <f t="shared" si="23"/>
        <v>RSR75B5</v>
      </c>
      <c r="O358" s="10">
        <f>IF(Table1[[#This Row],[ID ROW]]&lt;=12,1,INT((Table1[[#This Row],[ID ROW]]-1)/12)+1)</f>
        <v>6</v>
      </c>
      <c r="P358" s="10">
        <f>Table1[[#This Row],[ID ROW]]-((Table1[[#This Row],[SECT]]-1)*12)</f>
        <v>5</v>
      </c>
    </row>
    <row r="359" spans="1:16" ht="15.75" customHeight="1" x14ac:dyDescent="0.3">
      <c r="A359" s="6" t="s">
        <v>1294</v>
      </c>
      <c r="B359" s="6" t="s">
        <v>1295</v>
      </c>
      <c r="C359" s="6" t="s">
        <v>1296</v>
      </c>
      <c r="D359" s="6" t="s">
        <v>1297</v>
      </c>
      <c r="F359" s="13" t="s">
        <v>1298</v>
      </c>
      <c r="G359" s="8">
        <v>358</v>
      </c>
      <c r="H359" s="9" t="s">
        <v>21</v>
      </c>
      <c r="I359" s="9">
        <f t="shared" si="21"/>
        <v>65</v>
      </c>
      <c r="J359" s="9">
        <f t="shared" si="20"/>
        <v>6</v>
      </c>
      <c r="K359" s="10" t="str">
        <f t="shared" si="22"/>
        <v>S1R65B6</v>
      </c>
      <c r="L359" s="10" t="s">
        <v>22</v>
      </c>
      <c r="M359" s="10">
        <f>IF(Table1[[#This Row],[ID ROW]]&lt;=12,Table1[[#This Row],[ID ROW]],Table1[[#This Row],[ID ROW]]+INT((Table1[[#This Row],[ID ROW]]-1)/12)*2)</f>
        <v>75</v>
      </c>
      <c r="N359" s="10" t="str">
        <f t="shared" si="23"/>
        <v>RSR75B6</v>
      </c>
      <c r="O359" s="10">
        <f>IF(Table1[[#This Row],[ID ROW]]&lt;=12,1,INT((Table1[[#This Row],[ID ROW]]-1)/12)+1)</f>
        <v>6</v>
      </c>
      <c r="P359" s="10">
        <f>Table1[[#This Row],[ID ROW]]-((Table1[[#This Row],[SECT]]-1)*12)</f>
        <v>5</v>
      </c>
    </row>
    <row r="360" spans="1:16" ht="15.75" customHeight="1" x14ac:dyDescent="0.25">
      <c r="A360" s="6" t="s">
        <v>1299</v>
      </c>
      <c r="B360" s="6" t="s">
        <v>1300</v>
      </c>
      <c r="C360" s="6" t="s">
        <v>1301</v>
      </c>
      <c r="D360" s="6" t="s">
        <v>1302</v>
      </c>
      <c r="F360" s="7" t="s">
        <v>1303</v>
      </c>
      <c r="G360" s="8">
        <v>359</v>
      </c>
      <c r="H360" s="9" t="s">
        <v>21</v>
      </c>
      <c r="I360" s="9">
        <f t="shared" si="21"/>
        <v>66</v>
      </c>
      <c r="J360" s="9">
        <f t="shared" si="20"/>
        <v>1</v>
      </c>
      <c r="K360" s="10" t="str">
        <f t="shared" si="22"/>
        <v>S1R66B1</v>
      </c>
      <c r="L360" s="10" t="s">
        <v>22</v>
      </c>
      <c r="M360" s="10">
        <f>IF(Table1[[#This Row],[ID ROW]]&lt;=12,Table1[[#This Row],[ID ROW]],Table1[[#This Row],[ID ROW]]+INT((Table1[[#This Row],[ID ROW]]-1)/12)*2)</f>
        <v>76</v>
      </c>
      <c r="N360" s="10" t="str">
        <f t="shared" si="23"/>
        <v>RSR76B1</v>
      </c>
      <c r="O360" s="10">
        <f>IF(Table1[[#This Row],[ID ROW]]&lt;=12,1,INT((Table1[[#This Row],[ID ROW]]-1)/12)+1)</f>
        <v>6</v>
      </c>
      <c r="P360" s="10">
        <f>Table1[[#This Row],[ID ROW]]-((Table1[[#This Row],[SECT]]-1)*12)</f>
        <v>6</v>
      </c>
    </row>
    <row r="361" spans="1:16" ht="15.75" customHeight="1" x14ac:dyDescent="0.3">
      <c r="A361" s="6" t="s">
        <v>1304</v>
      </c>
      <c r="B361" s="6" t="s">
        <v>1305</v>
      </c>
      <c r="C361" s="6" t="s">
        <v>1306</v>
      </c>
      <c r="D361" s="6" t="s">
        <v>264</v>
      </c>
      <c r="F361" s="13"/>
      <c r="G361" s="8">
        <v>360</v>
      </c>
      <c r="H361" s="9" t="s">
        <v>21</v>
      </c>
      <c r="I361" s="9">
        <f t="shared" si="21"/>
        <v>66</v>
      </c>
      <c r="J361" s="9">
        <f t="shared" si="20"/>
        <v>2</v>
      </c>
      <c r="K361" s="10" t="str">
        <f t="shared" si="22"/>
        <v>S1R66B2</v>
      </c>
      <c r="L361" s="10" t="s">
        <v>22</v>
      </c>
      <c r="M361" s="10">
        <f>IF(Table1[[#This Row],[ID ROW]]&lt;=12,Table1[[#This Row],[ID ROW]],Table1[[#This Row],[ID ROW]]+INT((Table1[[#This Row],[ID ROW]]-1)/12)*2)</f>
        <v>76</v>
      </c>
      <c r="N361" s="10" t="str">
        <f t="shared" si="23"/>
        <v>RSR76B2</v>
      </c>
      <c r="O361" s="10">
        <f>IF(Table1[[#This Row],[ID ROW]]&lt;=12,1,INT((Table1[[#This Row],[ID ROW]]-1)/12)+1)</f>
        <v>6</v>
      </c>
      <c r="P361" s="10">
        <f>Table1[[#This Row],[ID ROW]]-((Table1[[#This Row],[SECT]]-1)*12)</f>
        <v>6</v>
      </c>
    </row>
    <row r="362" spans="1:16" ht="15.75" customHeight="1" x14ac:dyDescent="0.25">
      <c r="A362" s="6" t="s">
        <v>1307</v>
      </c>
      <c r="B362" s="6" t="s">
        <v>1308</v>
      </c>
      <c r="C362" s="6" t="s">
        <v>1309</v>
      </c>
      <c r="D362" s="6" t="s">
        <v>1310</v>
      </c>
      <c r="F362" s="7"/>
      <c r="G362" s="8">
        <v>361</v>
      </c>
      <c r="H362" s="9" t="s">
        <v>21</v>
      </c>
      <c r="I362" s="9">
        <f t="shared" si="21"/>
        <v>66</v>
      </c>
      <c r="J362" s="9">
        <f t="shared" si="20"/>
        <v>3</v>
      </c>
      <c r="K362" s="10" t="str">
        <f t="shared" si="22"/>
        <v>S1R66B3</v>
      </c>
      <c r="L362" s="10" t="s">
        <v>22</v>
      </c>
      <c r="M362" s="10">
        <f>IF(Table1[[#This Row],[ID ROW]]&lt;=12,Table1[[#This Row],[ID ROW]],Table1[[#This Row],[ID ROW]]+INT((Table1[[#This Row],[ID ROW]]-1)/12)*2)</f>
        <v>76</v>
      </c>
      <c r="N362" s="10" t="str">
        <f t="shared" si="23"/>
        <v>RSR76B3</v>
      </c>
      <c r="O362" s="10">
        <f>IF(Table1[[#This Row],[ID ROW]]&lt;=12,1,INT((Table1[[#This Row],[ID ROW]]-1)/12)+1)</f>
        <v>6</v>
      </c>
      <c r="P362" s="10">
        <f>Table1[[#This Row],[ID ROW]]-((Table1[[#This Row],[SECT]]-1)*12)</f>
        <v>6</v>
      </c>
    </row>
    <row r="363" spans="1:16" ht="15.75" customHeight="1" x14ac:dyDescent="0.3">
      <c r="A363" s="6" t="s">
        <v>1311</v>
      </c>
      <c r="B363" s="6" t="s">
        <v>1312</v>
      </c>
      <c r="C363" s="6" t="s">
        <v>1313</v>
      </c>
      <c r="D363" s="6" t="s">
        <v>1314</v>
      </c>
      <c r="F363" s="13" t="s">
        <v>1298</v>
      </c>
      <c r="G363" s="8">
        <v>362</v>
      </c>
      <c r="H363" s="9" t="s">
        <v>21</v>
      </c>
      <c r="I363" s="9">
        <f t="shared" si="21"/>
        <v>66</v>
      </c>
      <c r="J363" s="9">
        <f t="shared" si="20"/>
        <v>4</v>
      </c>
      <c r="K363" s="10" t="str">
        <f t="shared" si="22"/>
        <v>S1R66B4</v>
      </c>
      <c r="L363" s="10" t="s">
        <v>22</v>
      </c>
      <c r="M363" s="10">
        <f>IF(Table1[[#This Row],[ID ROW]]&lt;=12,Table1[[#This Row],[ID ROW]],Table1[[#This Row],[ID ROW]]+INT((Table1[[#This Row],[ID ROW]]-1)/12)*2)</f>
        <v>76</v>
      </c>
      <c r="N363" s="10" t="str">
        <f t="shared" si="23"/>
        <v>RSR76B4</v>
      </c>
      <c r="O363" s="10">
        <f>IF(Table1[[#This Row],[ID ROW]]&lt;=12,1,INT((Table1[[#This Row],[ID ROW]]-1)/12)+1)</f>
        <v>6</v>
      </c>
      <c r="P363" s="10">
        <f>Table1[[#This Row],[ID ROW]]-((Table1[[#This Row],[SECT]]-1)*12)</f>
        <v>6</v>
      </c>
    </row>
    <row r="364" spans="1:16" ht="15.75" customHeight="1" x14ac:dyDescent="0.25">
      <c r="A364" s="6" t="s">
        <v>1315</v>
      </c>
      <c r="B364" s="6" t="s">
        <v>100</v>
      </c>
      <c r="C364" s="6" t="s">
        <v>1316</v>
      </c>
      <c r="D364" s="6" t="s">
        <v>1317</v>
      </c>
      <c r="F364" s="7" t="s">
        <v>1318</v>
      </c>
      <c r="G364" s="8">
        <v>363</v>
      </c>
      <c r="H364" s="9" t="s">
        <v>21</v>
      </c>
      <c r="I364" s="9">
        <f t="shared" si="21"/>
        <v>66</v>
      </c>
      <c r="J364" s="9">
        <f t="shared" si="20"/>
        <v>5</v>
      </c>
      <c r="K364" s="10" t="str">
        <f t="shared" si="22"/>
        <v>S1R66B5</v>
      </c>
      <c r="L364" s="10" t="s">
        <v>22</v>
      </c>
      <c r="M364" s="10">
        <f>IF(Table1[[#This Row],[ID ROW]]&lt;=12,Table1[[#This Row],[ID ROW]],Table1[[#This Row],[ID ROW]]+INT((Table1[[#This Row],[ID ROW]]-1)/12)*2)</f>
        <v>76</v>
      </c>
      <c r="N364" s="10" t="str">
        <f t="shared" si="23"/>
        <v>RSR76B5</v>
      </c>
      <c r="O364" s="10">
        <f>IF(Table1[[#This Row],[ID ROW]]&lt;=12,1,INT((Table1[[#This Row],[ID ROW]]-1)/12)+1)</f>
        <v>6</v>
      </c>
      <c r="P364" s="10">
        <f>Table1[[#This Row],[ID ROW]]-((Table1[[#This Row],[SECT]]-1)*12)</f>
        <v>6</v>
      </c>
    </row>
    <row r="365" spans="1:16" ht="15.75" customHeight="1" x14ac:dyDescent="0.3">
      <c r="A365" s="6" t="s">
        <v>1319</v>
      </c>
      <c r="B365" s="6" t="s">
        <v>1320</v>
      </c>
      <c r="C365" s="6" t="s">
        <v>1321</v>
      </c>
      <c r="D365" s="6" t="s">
        <v>1322</v>
      </c>
      <c r="F365" s="13" t="s">
        <v>481</v>
      </c>
      <c r="G365" s="8">
        <v>364</v>
      </c>
      <c r="H365" s="9" t="s">
        <v>21</v>
      </c>
      <c r="I365" s="9">
        <f t="shared" si="21"/>
        <v>67</v>
      </c>
      <c r="J365" s="9">
        <f t="shared" si="20"/>
        <v>1</v>
      </c>
      <c r="K365" s="10" t="str">
        <f t="shared" si="22"/>
        <v>S1R67B1</v>
      </c>
      <c r="L365" s="10" t="s">
        <v>22</v>
      </c>
      <c r="M365" s="10">
        <f>IF(Table1[[#This Row],[ID ROW]]&lt;=12,Table1[[#This Row],[ID ROW]],Table1[[#This Row],[ID ROW]]+INT((Table1[[#This Row],[ID ROW]]-1)/12)*2)</f>
        <v>77</v>
      </c>
      <c r="N365" s="10" t="str">
        <f t="shared" si="23"/>
        <v>RSR77B1</v>
      </c>
      <c r="O365" s="10">
        <f>IF(Table1[[#This Row],[ID ROW]]&lt;=12,1,INT((Table1[[#This Row],[ID ROW]]-1)/12)+1)</f>
        <v>6</v>
      </c>
      <c r="P365" s="10">
        <f>Table1[[#This Row],[ID ROW]]-((Table1[[#This Row],[SECT]]-1)*12)</f>
        <v>7</v>
      </c>
    </row>
    <row r="366" spans="1:16" ht="15.75" customHeight="1" x14ac:dyDescent="0.25">
      <c r="A366" s="6" t="s">
        <v>1323</v>
      </c>
      <c r="B366" s="6" t="s">
        <v>1324</v>
      </c>
      <c r="C366" s="6" t="s">
        <v>1325</v>
      </c>
      <c r="D366" s="6" t="s">
        <v>1326</v>
      </c>
      <c r="F366" s="7" t="s">
        <v>1327</v>
      </c>
      <c r="G366" s="8">
        <v>365</v>
      </c>
      <c r="H366" s="9" t="s">
        <v>21</v>
      </c>
      <c r="I366" s="9">
        <f t="shared" si="21"/>
        <v>67</v>
      </c>
      <c r="J366" s="9">
        <f t="shared" si="20"/>
        <v>2</v>
      </c>
      <c r="K366" s="10" t="str">
        <f t="shared" si="22"/>
        <v>S1R67B2</v>
      </c>
      <c r="L366" s="10" t="s">
        <v>22</v>
      </c>
      <c r="M366" s="10">
        <f>IF(Table1[[#This Row],[ID ROW]]&lt;=12,Table1[[#This Row],[ID ROW]],Table1[[#This Row],[ID ROW]]+INT((Table1[[#This Row],[ID ROW]]-1)/12)*2)</f>
        <v>77</v>
      </c>
      <c r="N366" s="10" t="str">
        <f t="shared" si="23"/>
        <v>RSR77B2</v>
      </c>
      <c r="O366" s="10">
        <f>IF(Table1[[#This Row],[ID ROW]]&lt;=12,1,INT((Table1[[#This Row],[ID ROW]]-1)/12)+1)</f>
        <v>6</v>
      </c>
      <c r="P366" s="10">
        <f>Table1[[#This Row],[ID ROW]]-((Table1[[#This Row],[SECT]]-1)*12)</f>
        <v>7</v>
      </c>
    </row>
    <row r="367" spans="1:16" ht="15.75" customHeight="1" x14ac:dyDescent="0.3">
      <c r="A367" s="6" t="s">
        <v>1328</v>
      </c>
      <c r="B367" s="6" t="s">
        <v>1329</v>
      </c>
      <c r="C367" s="6" t="s">
        <v>1330</v>
      </c>
      <c r="D367" s="6" t="s">
        <v>1331</v>
      </c>
      <c r="F367" s="13" t="s">
        <v>1332</v>
      </c>
      <c r="G367" s="8">
        <v>366</v>
      </c>
      <c r="H367" s="9" t="s">
        <v>21</v>
      </c>
      <c r="I367" s="9">
        <f t="shared" si="21"/>
        <v>67</v>
      </c>
      <c r="J367" s="9">
        <f t="shared" si="20"/>
        <v>3</v>
      </c>
      <c r="K367" s="10" t="str">
        <f t="shared" si="22"/>
        <v>S1R67B3</v>
      </c>
      <c r="L367" s="10" t="s">
        <v>22</v>
      </c>
      <c r="M367" s="10">
        <f>IF(Table1[[#This Row],[ID ROW]]&lt;=12,Table1[[#This Row],[ID ROW]],Table1[[#This Row],[ID ROW]]+INT((Table1[[#This Row],[ID ROW]]-1)/12)*2)</f>
        <v>77</v>
      </c>
      <c r="N367" s="10" t="str">
        <f t="shared" si="23"/>
        <v>RSR77B3</v>
      </c>
      <c r="O367" s="10">
        <f>IF(Table1[[#This Row],[ID ROW]]&lt;=12,1,INT((Table1[[#This Row],[ID ROW]]-1)/12)+1)</f>
        <v>6</v>
      </c>
      <c r="P367" s="10">
        <f>Table1[[#This Row],[ID ROW]]-((Table1[[#This Row],[SECT]]-1)*12)</f>
        <v>7</v>
      </c>
    </row>
    <row r="368" spans="1:16" ht="15.75" customHeight="1" x14ac:dyDescent="0.25">
      <c r="A368" s="6" t="s">
        <v>1333</v>
      </c>
      <c r="B368" s="6" t="s">
        <v>1334</v>
      </c>
      <c r="C368" s="6" t="s">
        <v>1335</v>
      </c>
      <c r="D368" s="6" t="s">
        <v>1336</v>
      </c>
      <c r="F368" s="7" t="s">
        <v>1337</v>
      </c>
      <c r="G368" s="8">
        <v>367</v>
      </c>
      <c r="H368" s="9" t="s">
        <v>21</v>
      </c>
      <c r="I368" s="9">
        <f t="shared" si="21"/>
        <v>67</v>
      </c>
      <c r="J368" s="9">
        <f t="shared" si="20"/>
        <v>4</v>
      </c>
      <c r="K368" s="10" t="str">
        <f t="shared" si="22"/>
        <v>S1R67B4</v>
      </c>
      <c r="L368" s="10" t="s">
        <v>22</v>
      </c>
      <c r="M368" s="10">
        <f>IF(Table1[[#This Row],[ID ROW]]&lt;=12,Table1[[#This Row],[ID ROW]],Table1[[#This Row],[ID ROW]]+INT((Table1[[#This Row],[ID ROW]]-1)/12)*2)</f>
        <v>77</v>
      </c>
      <c r="N368" s="10" t="str">
        <f t="shared" si="23"/>
        <v>RSR77B4</v>
      </c>
      <c r="O368" s="10">
        <f>IF(Table1[[#This Row],[ID ROW]]&lt;=12,1,INT((Table1[[#This Row],[ID ROW]]-1)/12)+1)</f>
        <v>6</v>
      </c>
      <c r="P368" s="10">
        <f>Table1[[#This Row],[ID ROW]]-((Table1[[#This Row],[SECT]]-1)*12)</f>
        <v>7</v>
      </c>
    </row>
    <row r="369" spans="1:16" ht="15.75" customHeight="1" x14ac:dyDescent="0.3">
      <c r="A369" s="6" t="s">
        <v>1338</v>
      </c>
      <c r="B369" s="6" t="s">
        <v>1339</v>
      </c>
      <c r="C369" s="6" t="s">
        <v>1340</v>
      </c>
      <c r="F369" s="13" t="s">
        <v>1341</v>
      </c>
      <c r="G369" s="8">
        <v>368</v>
      </c>
      <c r="H369" s="9" t="s">
        <v>21</v>
      </c>
      <c r="I369" s="9">
        <f t="shared" si="21"/>
        <v>67</v>
      </c>
      <c r="J369" s="9">
        <f t="shared" si="20"/>
        <v>5</v>
      </c>
      <c r="K369" s="10" t="str">
        <f t="shared" si="22"/>
        <v>S1R67B5</v>
      </c>
      <c r="L369" s="10" t="s">
        <v>22</v>
      </c>
      <c r="M369" s="10">
        <f>IF(Table1[[#This Row],[ID ROW]]&lt;=12,Table1[[#This Row],[ID ROW]],Table1[[#This Row],[ID ROW]]+INT((Table1[[#This Row],[ID ROW]]-1)/12)*2)</f>
        <v>77</v>
      </c>
      <c r="N369" s="10" t="str">
        <f t="shared" si="23"/>
        <v>RSR77B5</v>
      </c>
      <c r="O369" s="10">
        <f>IF(Table1[[#This Row],[ID ROW]]&lt;=12,1,INT((Table1[[#This Row],[ID ROW]]-1)/12)+1)</f>
        <v>6</v>
      </c>
      <c r="P369" s="10">
        <f>Table1[[#This Row],[ID ROW]]-((Table1[[#This Row],[SECT]]-1)*12)</f>
        <v>7</v>
      </c>
    </row>
    <row r="370" spans="1:16" ht="15.75" customHeight="1" x14ac:dyDescent="0.25">
      <c r="A370" s="6" t="s">
        <v>1342</v>
      </c>
      <c r="B370" s="6" t="s">
        <v>1343</v>
      </c>
      <c r="C370" s="6" t="s">
        <v>1344</v>
      </c>
      <c r="F370" s="7"/>
      <c r="G370" s="8">
        <v>369</v>
      </c>
      <c r="H370" s="9" t="s">
        <v>21</v>
      </c>
      <c r="I370" s="9">
        <f t="shared" si="21"/>
        <v>67</v>
      </c>
      <c r="J370" s="9">
        <f t="shared" si="20"/>
        <v>6</v>
      </c>
      <c r="K370" s="10" t="str">
        <f t="shared" si="22"/>
        <v>S1R67B6</v>
      </c>
      <c r="L370" s="10" t="s">
        <v>22</v>
      </c>
      <c r="M370" s="10">
        <f>IF(Table1[[#This Row],[ID ROW]]&lt;=12,Table1[[#This Row],[ID ROW]],Table1[[#This Row],[ID ROW]]+INT((Table1[[#This Row],[ID ROW]]-1)/12)*2)</f>
        <v>77</v>
      </c>
      <c r="N370" s="10" t="str">
        <f t="shared" si="23"/>
        <v>RSR77B6</v>
      </c>
      <c r="O370" s="10">
        <f>IF(Table1[[#This Row],[ID ROW]]&lt;=12,1,INT((Table1[[#This Row],[ID ROW]]-1)/12)+1)</f>
        <v>6</v>
      </c>
      <c r="P370" s="10">
        <f>Table1[[#This Row],[ID ROW]]-((Table1[[#This Row],[SECT]]-1)*12)</f>
        <v>7</v>
      </c>
    </row>
    <row r="371" spans="1:16" ht="15.75" customHeight="1" x14ac:dyDescent="0.3">
      <c r="A371" s="6" t="s">
        <v>1345</v>
      </c>
      <c r="B371" s="6" t="s">
        <v>1346</v>
      </c>
      <c r="C371" s="6" t="s">
        <v>1287</v>
      </c>
      <c r="D371" s="6" t="s">
        <v>1282</v>
      </c>
      <c r="F371" s="13"/>
      <c r="G371" s="8">
        <v>370</v>
      </c>
      <c r="H371" s="9" t="s">
        <v>21</v>
      </c>
      <c r="I371" s="9">
        <f t="shared" si="21"/>
        <v>68</v>
      </c>
      <c r="J371" s="9">
        <f t="shared" si="20"/>
        <v>1</v>
      </c>
      <c r="K371" s="10" t="str">
        <f t="shared" si="22"/>
        <v>S1R68B1</v>
      </c>
      <c r="L371" s="10" t="s">
        <v>22</v>
      </c>
      <c r="M371" s="10">
        <f>IF(Table1[[#This Row],[ID ROW]]&lt;=12,Table1[[#This Row],[ID ROW]],Table1[[#This Row],[ID ROW]]+INT((Table1[[#This Row],[ID ROW]]-1)/12)*2)</f>
        <v>78</v>
      </c>
      <c r="N371" s="10" t="str">
        <f t="shared" si="23"/>
        <v>RSR78B1</v>
      </c>
      <c r="O371" s="10">
        <f>IF(Table1[[#This Row],[ID ROW]]&lt;=12,1,INT((Table1[[#This Row],[ID ROW]]-1)/12)+1)</f>
        <v>6</v>
      </c>
      <c r="P371" s="10">
        <f>Table1[[#This Row],[ID ROW]]-((Table1[[#This Row],[SECT]]-1)*12)</f>
        <v>8</v>
      </c>
    </row>
    <row r="372" spans="1:16" ht="15.75" customHeight="1" x14ac:dyDescent="0.25">
      <c r="A372" s="6" t="s">
        <v>1347</v>
      </c>
      <c r="B372" s="6" t="s">
        <v>1348</v>
      </c>
      <c r="C372" s="6" t="s">
        <v>1349</v>
      </c>
      <c r="F372" s="7" t="s">
        <v>1350</v>
      </c>
      <c r="G372" s="8">
        <v>371</v>
      </c>
      <c r="H372" s="9" t="s">
        <v>21</v>
      </c>
      <c r="I372" s="9">
        <f t="shared" si="21"/>
        <v>68</v>
      </c>
      <c r="J372" s="9">
        <f t="shared" si="20"/>
        <v>2</v>
      </c>
      <c r="K372" s="10" t="str">
        <f t="shared" si="22"/>
        <v>S1R68B2</v>
      </c>
      <c r="L372" s="10" t="s">
        <v>22</v>
      </c>
      <c r="M372" s="10">
        <f>IF(Table1[[#This Row],[ID ROW]]&lt;=12,Table1[[#This Row],[ID ROW]],Table1[[#This Row],[ID ROW]]+INT((Table1[[#This Row],[ID ROW]]-1)/12)*2)</f>
        <v>78</v>
      </c>
      <c r="N372" s="10" t="str">
        <f t="shared" si="23"/>
        <v>RSR78B2</v>
      </c>
      <c r="O372" s="10">
        <f>IF(Table1[[#This Row],[ID ROW]]&lt;=12,1,INT((Table1[[#This Row],[ID ROW]]-1)/12)+1)</f>
        <v>6</v>
      </c>
      <c r="P372" s="10">
        <f>Table1[[#This Row],[ID ROW]]-((Table1[[#This Row],[SECT]]-1)*12)</f>
        <v>8</v>
      </c>
    </row>
    <row r="373" spans="1:16" ht="15.75" customHeight="1" x14ac:dyDescent="0.3">
      <c r="A373" s="6" t="s">
        <v>1351</v>
      </c>
      <c r="B373" s="6" t="s">
        <v>1352</v>
      </c>
      <c r="C373" s="6" t="s">
        <v>1353</v>
      </c>
      <c r="D373" s="6" t="s">
        <v>1354</v>
      </c>
      <c r="F373" s="13" t="s">
        <v>1355</v>
      </c>
      <c r="G373" s="8">
        <v>372</v>
      </c>
      <c r="H373" s="9" t="s">
        <v>21</v>
      </c>
      <c r="I373" s="9">
        <f t="shared" si="21"/>
        <v>68</v>
      </c>
      <c r="J373" s="9">
        <f t="shared" si="20"/>
        <v>3</v>
      </c>
      <c r="K373" s="10" t="str">
        <f t="shared" si="22"/>
        <v>S1R68B3</v>
      </c>
      <c r="L373" s="10" t="s">
        <v>22</v>
      </c>
      <c r="M373" s="10">
        <f>IF(Table1[[#This Row],[ID ROW]]&lt;=12,Table1[[#This Row],[ID ROW]],Table1[[#This Row],[ID ROW]]+INT((Table1[[#This Row],[ID ROW]]-1)/12)*2)</f>
        <v>78</v>
      </c>
      <c r="N373" s="10" t="str">
        <f t="shared" si="23"/>
        <v>RSR78B3</v>
      </c>
      <c r="O373" s="10">
        <f>IF(Table1[[#This Row],[ID ROW]]&lt;=12,1,INT((Table1[[#This Row],[ID ROW]]-1)/12)+1)</f>
        <v>6</v>
      </c>
      <c r="P373" s="10">
        <f>Table1[[#This Row],[ID ROW]]-((Table1[[#This Row],[SECT]]-1)*12)</f>
        <v>8</v>
      </c>
    </row>
    <row r="374" spans="1:16" ht="15.75" customHeight="1" x14ac:dyDescent="0.25">
      <c r="A374" s="6" t="s">
        <v>1356</v>
      </c>
      <c r="B374" s="6" t="s">
        <v>1357</v>
      </c>
      <c r="C374" s="6" t="s">
        <v>1358</v>
      </c>
      <c r="D374" s="6" t="s">
        <v>1359</v>
      </c>
      <c r="F374" s="7" t="s">
        <v>1360</v>
      </c>
      <c r="G374" s="8">
        <v>373</v>
      </c>
      <c r="H374" s="9" t="s">
        <v>21</v>
      </c>
      <c r="I374" s="9">
        <f t="shared" si="21"/>
        <v>68</v>
      </c>
      <c r="J374" s="9">
        <f t="shared" si="20"/>
        <v>4</v>
      </c>
      <c r="K374" s="10" t="str">
        <f t="shared" si="22"/>
        <v>S1R68B4</v>
      </c>
      <c r="L374" s="10" t="s">
        <v>22</v>
      </c>
      <c r="M374" s="10">
        <f>IF(Table1[[#This Row],[ID ROW]]&lt;=12,Table1[[#This Row],[ID ROW]],Table1[[#This Row],[ID ROW]]+INT((Table1[[#This Row],[ID ROW]]-1)/12)*2)</f>
        <v>78</v>
      </c>
      <c r="N374" s="10" t="str">
        <f t="shared" si="23"/>
        <v>RSR78B4</v>
      </c>
      <c r="O374" s="10">
        <f>IF(Table1[[#This Row],[ID ROW]]&lt;=12,1,INT((Table1[[#This Row],[ID ROW]]-1)/12)+1)</f>
        <v>6</v>
      </c>
      <c r="P374" s="10">
        <f>Table1[[#This Row],[ID ROW]]-((Table1[[#This Row],[SECT]]-1)*12)</f>
        <v>8</v>
      </c>
    </row>
    <row r="375" spans="1:16" ht="15.75" customHeight="1" x14ac:dyDescent="0.3">
      <c r="A375" s="6" t="s">
        <v>1361</v>
      </c>
      <c r="B375" s="6" t="s">
        <v>1362</v>
      </c>
      <c r="C375" s="6" t="s">
        <v>1363</v>
      </c>
      <c r="D375" s="6" t="s">
        <v>1364</v>
      </c>
      <c r="F375" s="13"/>
      <c r="G375" s="8">
        <v>374</v>
      </c>
      <c r="H375" s="9" t="s">
        <v>21</v>
      </c>
      <c r="I375" s="9">
        <f t="shared" si="21"/>
        <v>68</v>
      </c>
      <c r="J375" s="9">
        <f t="shared" si="20"/>
        <v>5</v>
      </c>
      <c r="K375" s="10" t="str">
        <f t="shared" si="22"/>
        <v>S1R68B5</v>
      </c>
      <c r="L375" s="10" t="s">
        <v>22</v>
      </c>
      <c r="M375" s="10">
        <f>IF(Table1[[#This Row],[ID ROW]]&lt;=12,Table1[[#This Row],[ID ROW]],Table1[[#This Row],[ID ROW]]+INT((Table1[[#This Row],[ID ROW]]-1)/12)*2)</f>
        <v>78</v>
      </c>
      <c r="N375" s="10" t="str">
        <f t="shared" si="23"/>
        <v>RSR78B5</v>
      </c>
      <c r="O375" s="10">
        <f>IF(Table1[[#This Row],[ID ROW]]&lt;=12,1,INT((Table1[[#This Row],[ID ROW]]-1)/12)+1)</f>
        <v>6</v>
      </c>
      <c r="P375" s="10">
        <f>Table1[[#This Row],[ID ROW]]-((Table1[[#This Row],[SECT]]-1)*12)</f>
        <v>8</v>
      </c>
    </row>
    <row r="376" spans="1:16" ht="15.75" customHeight="1" x14ac:dyDescent="0.25">
      <c r="A376" s="6" t="s">
        <v>1365</v>
      </c>
      <c r="B376" s="6" t="s">
        <v>150</v>
      </c>
      <c r="C376" s="6" t="s">
        <v>1366</v>
      </c>
      <c r="F376" s="7" t="s">
        <v>1367</v>
      </c>
      <c r="G376" s="8">
        <v>375</v>
      </c>
      <c r="H376" s="9" t="s">
        <v>21</v>
      </c>
      <c r="I376" s="9">
        <f t="shared" si="21"/>
        <v>69</v>
      </c>
      <c r="J376" s="9">
        <f t="shared" si="20"/>
        <v>1</v>
      </c>
      <c r="K376" s="10" t="str">
        <f t="shared" si="22"/>
        <v>S1R69B1</v>
      </c>
      <c r="L376" s="10" t="s">
        <v>22</v>
      </c>
      <c r="M376" s="10">
        <f>IF(Table1[[#This Row],[ID ROW]]&lt;=12,Table1[[#This Row],[ID ROW]],Table1[[#This Row],[ID ROW]]+INT((Table1[[#This Row],[ID ROW]]-1)/12)*2)</f>
        <v>79</v>
      </c>
      <c r="N376" s="10" t="str">
        <f t="shared" si="23"/>
        <v>RSR79B1</v>
      </c>
      <c r="O376" s="10">
        <f>IF(Table1[[#This Row],[ID ROW]]&lt;=12,1,INT((Table1[[#This Row],[ID ROW]]-1)/12)+1)</f>
        <v>6</v>
      </c>
      <c r="P376" s="10">
        <f>Table1[[#This Row],[ID ROW]]-((Table1[[#This Row],[SECT]]-1)*12)</f>
        <v>9</v>
      </c>
    </row>
    <row r="377" spans="1:16" ht="15.75" customHeight="1" x14ac:dyDescent="0.3">
      <c r="A377" s="6" t="s">
        <v>1368</v>
      </c>
      <c r="B377" s="6" t="s">
        <v>1369</v>
      </c>
      <c r="C377" s="6" t="s">
        <v>194</v>
      </c>
      <c r="D377" s="6" t="s">
        <v>1370</v>
      </c>
      <c r="F377" s="13" t="s">
        <v>1371</v>
      </c>
      <c r="G377" s="8">
        <v>376</v>
      </c>
      <c r="H377" s="9" t="s">
        <v>21</v>
      </c>
      <c r="I377" s="9">
        <f t="shared" si="21"/>
        <v>69</v>
      </c>
      <c r="J377" s="9">
        <f t="shared" si="20"/>
        <v>2</v>
      </c>
      <c r="K377" s="10" t="str">
        <f t="shared" si="22"/>
        <v>S1R69B2</v>
      </c>
      <c r="L377" s="10" t="s">
        <v>22</v>
      </c>
      <c r="M377" s="10">
        <f>IF(Table1[[#This Row],[ID ROW]]&lt;=12,Table1[[#This Row],[ID ROW]],Table1[[#This Row],[ID ROW]]+INT((Table1[[#This Row],[ID ROW]]-1)/12)*2)</f>
        <v>79</v>
      </c>
      <c r="N377" s="10" t="str">
        <f t="shared" si="23"/>
        <v>RSR79B2</v>
      </c>
      <c r="O377" s="10">
        <f>IF(Table1[[#This Row],[ID ROW]]&lt;=12,1,INT((Table1[[#This Row],[ID ROW]]-1)/12)+1)</f>
        <v>6</v>
      </c>
      <c r="P377" s="10">
        <f>Table1[[#This Row],[ID ROW]]-((Table1[[#This Row],[SECT]]-1)*12)</f>
        <v>9</v>
      </c>
    </row>
    <row r="378" spans="1:16" ht="15.75" customHeight="1" x14ac:dyDescent="0.25">
      <c r="A378" s="6" t="s">
        <v>1372</v>
      </c>
      <c r="B378" s="6" t="s">
        <v>1373</v>
      </c>
      <c r="C378" s="6" t="s">
        <v>1374</v>
      </c>
      <c r="D378" s="6" t="s">
        <v>1375</v>
      </c>
      <c r="F378" s="7" t="s">
        <v>1376</v>
      </c>
      <c r="G378" s="8">
        <v>377</v>
      </c>
      <c r="H378" s="9" t="s">
        <v>21</v>
      </c>
      <c r="I378" s="9">
        <f t="shared" si="21"/>
        <v>69</v>
      </c>
      <c r="J378" s="9">
        <f t="shared" si="20"/>
        <v>3</v>
      </c>
      <c r="K378" s="10" t="str">
        <f t="shared" si="22"/>
        <v>S1R69B3</v>
      </c>
      <c r="L378" s="10" t="s">
        <v>22</v>
      </c>
      <c r="M378" s="10">
        <f>IF(Table1[[#This Row],[ID ROW]]&lt;=12,Table1[[#This Row],[ID ROW]],Table1[[#This Row],[ID ROW]]+INT((Table1[[#This Row],[ID ROW]]-1)/12)*2)</f>
        <v>79</v>
      </c>
      <c r="N378" s="10" t="str">
        <f t="shared" si="23"/>
        <v>RSR79B3</v>
      </c>
      <c r="O378" s="10">
        <f>IF(Table1[[#This Row],[ID ROW]]&lt;=12,1,INT((Table1[[#This Row],[ID ROW]]-1)/12)+1)</f>
        <v>6</v>
      </c>
      <c r="P378" s="10">
        <f>Table1[[#This Row],[ID ROW]]-((Table1[[#This Row],[SECT]]-1)*12)</f>
        <v>9</v>
      </c>
    </row>
    <row r="379" spans="1:16" ht="15.75" customHeight="1" x14ac:dyDescent="0.3">
      <c r="A379" s="6" t="s">
        <v>1377</v>
      </c>
      <c r="B379" s="6" t="s">
        <v>1378</v>
      </c>
      <c r="C379" s="6" t="s">
        <v>67</v>
      </c>
      <c r="D379" s="6" t="s">
        <v>1379</v>
      </c>
      <c r="F379" s="13"/>
      <c r="G379" s="8">
        <v>378</v>
      </c>
      <c r="H379" s="9" t="s">
        <v>21</v>
      </c>
      <c r="I379" s="9">
        <f t="shared" si="21"/>
        <v>69</v>
      </c>
      <c r="J379" s="9">
        <f t="shared" si="20"/>
        <v>4</v>
      </c>
      <c r="K379" s="10" t="str">
        <f t="shared" si="22"/>
        <v>S1R69B4</v>
      </c>
      <c r="L379" s="10" t="s">
        <v>22</v>
      </c>
      <c r="M379" s="10">
        <f>IF(Table1[[#This Row],[ID ROW]]&lt;=12,Table1[[#This Row],[ID ROW]],Table1[[#This Row],[ID ROW]]+INT((Table1[[#This Row],[ID ROW]]-1)/12)*2)</f>
        <v>79</v>
      </c>
      <c r="N379" s="10" t="str">
        <f t="shared" si="23"/>
        <v>RSR79B4</v>
      </c>
      <c r="O379" s="10">
        <f>IF(Table1[[#This Row],[ID ROW]]&lt;=12,1,INT((Table1[[#This Row],[ID ROW]]-1)/12)+1)</f>
        <v>6</v>
      </c>
      <c r="P379" s="10">
        <f>Table1[[#This Row],[ID ROW]]-((Table1[[#This Row],[SECT]]-1)*12)</f>
        <v>9</v>
      </c>
    </row>
    <row r="380" spans="1:16" ht="15.75" customHeight="1" x14ac:dyDescent="0.25">
      <c r="A380" s="6" t="s">
        <v>1380</v>
      </c>
      <c r="B380" s="6" t="s">
        <v>1381</v>
      </c>
      <c r="C380" s="6" t="s">
        <v>1382</v>
      </c>
      <c r="D380" s="6" t="s">
        <v>1383</v>
      </c>
      <c r="F380" s="7"/>
      <c r="G380" s="8">
        <v>379</v>
      </c>
      <c r="H380" s="9" t="s">
        <v>21</v>
      </c>
      <c r="I380" s="9">
        <f t="shared" si="21"/>
        <v>69</v>
      </c>
      <c r="J380" s="9">
        <f t="shared" si="20"/>
        <v>5</v>
      </c>
      <c r="K380" s="10" t="str">
        <f t="shared" si="22"/>
        <v>S1R69B5</v>
      </c>
      <c r="L380" s="10" t="s">
        <v>22</v>
      </c>
      <c r="M380" s="10">
        <f>IF(Table1[[#This Row],[ID ROW]]&lt;=12,Table1[[#This Row],[ID ROW]],Table1[[#This Row],[ID ROW]]+INT((Table1[[#This Row],[ID ROW]]-1)/12)*2)</f>
        <v>79</v>
      </c>
      <c r="N380" s="10" t="str">
        <f t="shared" si="23"/>
        <v>RSR79B5</v>
      </c>
      <c r="O380" s="10">
        <f>IF(Table1[[#This Row],[ID ROW]]&lt;=12,1,INT((Table1[[#This Row],[ID ROW]]-1)/12)+1)</f>
        <v>6</v>
      </c>
      <c r="P380" s="10">
        <f>Table1[[#This Row],[ID ROW]]-((Table1[[#This Row],[SECT]]-1)*12)</f>
        <v>9</v>
      </c>
    </row>
    <row r="381" spans="1:16" ht="15.75" customHeight="1" x14ac:dyDescent="0.3">
      <c r="A381" s="6" t="s">
        <v>1384</v>
      </c>
      <c r="B381" s="6" t="s">
        <v>150</v>
      </c>
      <c r="C381" s="6" t="s">
        <v>1236</v>
      </c>
      <c r="F381" s="13" t="s">
        <v>1385</v>
      </c>
      <c r="G381" s="8">
        <v>380</v>
      </c>
      <c r="H381" s="9" t="s">
        <v>21</v>
      </c>
      <c r="I381" s="9">
        <f t="shared" si="21"/>
        <v>69</v>
      </c>
      <c r="J381" s="9">
        <f t="shared" si="20"/>
        <v>6</v>
      </c>
      <c r="K381" s="10" t="str">
        <f t="shared" si="22"/>
        <v>S1R69B6</v>
      </c>
      <c r="L381" s="10" t="s">
        <v>22</v>
      </c>
      <c r="M381" s="10">
        <f>IF(Table1[[#This Row],[ID ROW]]&lt;=12,Table1[[#This Row],[ID ROW]],Table1[[#This Row],[ID ROW]]+INT((Table1[[#This Row],[ID ROW]]-1)/12)*2)</f>
        <v>79</v>
      </c>
      <c r="N381" s="10" t="str">
        <f t="shared" si="23"/>
        <v>RSR79B6</v>
      </c>
      <c r="O381" s="10">
        <f>IF(Table1[[#This Row],[ID ROW]]&lt;=12,1,INT((Table1[[#This Row],[ID ROW]]-1)/12)+1)</f>
        <v>6</v>
      </c>
      <c r="P381" s="10">
        <f>Table1[[#This Row],[ID ROW]]-((Table1[[#This Row],[SECT]]-1)*12)</f>
        <v>9</v>
      </c>
    </row>
    <row r="382" spans="1:16" ht="15.75" customHeight="1" x14ac:dyDescent="0.25">
      <c r="A382" s="6" t="s">
        <v>1386</v>
      </c>
      <c r="B382" s="6" t="s">
        <v>1387</v>
      </c>
      <c r="C382" s="6" t="s">
        <v>1388</v>
      </c>
      <c r="D382" s="6" t="s">
        <v>1389</v>
      </c>
      <c r="F382" s="7" t="s">
        <v>1390</v>
      </c>
      <c r="G382" s="8">
        <v>381</v>
      </c>
      <c r="H382" s="9" t="s">
        <v>21</v>
      </c>
      <c r="I382" s="9">
        <f t="shared" si="21"/>
        <v>70</v>
      </c>
      <c r="J382" s="9">
        <f t="shared" si="20"/>
        <v>1</v>
      </c>
      <c r="K382" s="10" t="str">
        <f t="shared" si="22"/>
        <v>S1R70B1</v>
      </c>
      <c r="L382" s="10" t="s">
        <v>22</v>
      </c>
      <c r="M382" s="10">
        <f>IF(Table1[[#This Row],[ID ROW]]&lt;=12,Table1[[#This Row],[ID ROW]],Table1[[#This Row],[ID ROW]]+INT((Table1[[#This Row],[ID ROW]]-1)/12)*2)</f>
        <v>80</v>
      </c>
      <c r="N382" s="10" t="str">
        <f t="shared" si="23"/>
        <v>RSR80B1</v>
      </c>
      <c r="O382" s="10">
        <f>IF(Table1[[#This Row],[ID ROW]]&lt;=12,1,INT((Table1[[#This Row],[ID ROW]]-1)/12)+1)</f>
        <v>6</v>
      </c>
      <c r="P382" s="10">
        <f>Table1[[#This Row],[ID ROW]]-((Table1[[#This Row],[SECT]]-1)*12)</f>
        <v>10</v>
      </c>
    </row>
    <row r="383" spans="1:16" ht="15.75" customHeight="1" x14ac:dyDescent="0.3">
      <c r="A383" s="6" t="s">
        <v>1391</v>
      </c>
      <c r="B383" s="6" t="s">
        <v>1392</v>
      </c>
      <c r="C383" s="19">
        <v>9440</v>
      </c>
      <c r="D383" s="19">
        <v>44428</v>
      </c>
      <c r="F383" s="13" t="s">
        <v>1393</v>
      </c>
      <c r="G383" s="8">
        <v>382</v>
      </c>
      <c r="H383" s="9" t="s">
        <v>21</v>
      </c>
      <c r="I383" s="9">
        <f t="shared" si="21"/>
        <v>70</v>
      </c>
      <c r="J383" s="9">
        <f t="shared" si="20"/>
        <v>2</v>
      </c>
      <c r="K383" s="10" t="str">
        <f t="shared" si="22"/>
        <v>S1R70B2</v>
      </c>
      <c r="L383" s="10" t="s">
        <v>22</v>
      </c>
      <c r="M383" s="10">
        <f>IF(Table1[[#This Row],[ID ROW]]&lt;=12,Table1[[#This Row],[ID ROW]],Table1[[#This Row],[ID ROW]]+INT((Table1[[#This Row],[ID ROW]]-1)/12)*2)</f>
        <v>80</v>
      </c>
      <c r="N383" s="10" t="str">
        <f t="shared" si="23"/>
        <v>RSR80B2</v>
      </c>
      <c r="O383" s="10">
        <f>IF(Table1[[#This Row],[ID ROW]]&lt;=12,1,INT((Table1[[#This Row],[ID ROW]]-1)/12)+1)</f>
        <v>6</v>
      </c>
      <c r="P383" s="10">
        <f>Table1[[#This Row],[ID ROW]]-((Table1[[#This Row],[SECT]]-1)*12)</f>
        <v>10</v>
      </c>
    </row>
    <row r="384" spans="1:16" ht="15.75" customHeight="1" x14ac:dyDescent="0.25">
      <c r="A384" s="6" t="s">
        <v>1391</v>
      </c>
      <c r="B384" s="6" t="s">
        <v>1394</v>
      </c>
      <c r="C384" s="6" t="s">
        <v>1395</v>
      </c>
      <c r="D384" s="6" t="s">
        <v>1396</v>
      </c>
      <c r="F384" s="7" t="s">
        <v>1397</v>
      </c>
      <c r="G384" s="8">
        <v>383</v>
      </c>
      <c r="H384" s="9" t="s">
        <v>21</v>
      </c>
      <c r="I384" s="9">
        <f t="shared" si="21"/>
        <v>70</v>
      </c>
      <c r="J384" s="9">
        <f t="shared" si="20"/>
        <v>3</v>
      </c>
      <c r="K384" s="10" t="str">
        <f t="shared" si="22"/>
        <v>S1R70B3</v>
      </c>
      <c r="L384" s="10" t="s">
        <v>22</v>
      </c>
      <c r="M384" s="10">
        <f>IF(Table1[[#This Row],[ID ROW]]&lt;=12,Table1[[#This Row],[ID ROW]],Table1[[#This Row],[ID ROW]]+INT((Table1[[#This Row],[ID ROW]]-1)/12)*2)</f>
        <v>80</v>
      </c>
      <c r="N384" s="10" t="str">
        <f t="shared" si="23"/>
        <v>RSR80B3</v>
      </c>
      <c r="O384" s="10">
        <f>IF(Table1[[#This Row],[ID ROW]]&lt;=12,1,INT((Table1[[#This Row],[ID ROW]]-1)/12)+1)</f>
        <v>6</v>
      </c>
      <c r="P384" s="10">
        <f>Table1[[#This Row],[ID ROW]]-((Table1[[#This Row],[SECT]]-1)*12)</f>
        <v>10</v>
      </c>
    </row>
    <row r="385" spans="1:16" ht="15.75" customHeight="1" x14ac:dyDescent="0.3">
      <c r="A385" s="6" t="s">
        <v>1398</v>
      </c>
      <c r="B385" s="6" t="s">
        <v>1399</v>
      </c>
      <c r="C385" s="6" t="s">
        <v>67</v>
      </c>
      <c r="D385" s="6" t="s">
        <v>1400</v>
      </c>
      <c r="F385" s="13" t="s">
        <v>1401</v>
      </c>
      <c r="G385" s="8">
        <v>384</v>
      </c>
      <c r="H385" s="9" t="s">
        <v>21</v>
      </c>
      <c r="I385" s="9">
        <f t="shared" si="21"/>
        <v>70</v>
      </c>
      <c r="J385" s="9">
        <f t="shared" si="20"/>
        <v>4</v>
      </c>
      <c r="K385" s="10" t="str">
        <f t="shared" si="22"/>
        <v>S1R70B4</v>
      </c>
      <c r="L385" s="10" t="s">
        <v>22</v>
      </c>
      <c r="M385" s="10">
        <f>IF(Table1[[#This Row],[ID ROW]]&lt;=12,Table1[[#This Row],[ID ROW]],Table1[[#This Row],[ID ROW]]+INT((Table1[[#This Row],[ID ROW]]-1)/12)*2)</f>
        <v>80</v>
      </c>
      <c r="N385" s="10" t="str">
        <f t="shared" si="23"/>
        <v>RSR80B4</v>
      </c>
      <c r="O385" s="10">
        <f>IF(Table1[[#This Row],[ID ROW]]&lt;=12,1,INT((Table1[[#This Row],[ID ROW]]-1)/12)+1)</f>
        <v>6</v>
      </c>
      <c r="P385" s="10">
        <f>Table1[[#This Row],[ID ROW]]-((Table1[[#This Row],[SECT]]-1)*12)</f>
        <v>10</v>
      </c>
    </row>
    <row r="386" spans="1:16" ht="15.75" customHeight="1" x14ac:dyDescent="0.25">
      <c r="A386" s="6" t="s">
        <v>1402</v>
      </c>
      <c r="B386" s="6" t="s">
        <v>1403</v>
      </c>
      <c r="C386" s="6" t="s">
        <v>1404</v>
      </c>
      <c r="D386" s="6" t="s">
        <v>1405</v>
      </c>
      <c r="F386" s="7" t="s">
        <v>1052</v>
      </c>
      <c r="G386" s="8">
        <v>385</v>
      </c>
      <c r="H386" s="9" t="s">
        <v>21</v>
      </c>
      <c r="I386" s="9">
        <f t="shared" si="21"/>
        <v>70</v>
      </c>
      <c r="J386" s="9">
        <f t="shared" ref="J386:J449" si="24">IF(MOD(G386-1,11)&lt;6,(MOD(G386-1,11)+1-(5*FLOOR(MOD(G386-1,11),6))),(MOD(G386-1,11))-5)</f>
        <v>5</v>
      </c>
      <c r="K386" s="10" t="str">
        <f t="shared" si="22"/>
        <v>S1R70B5</v>
      </c>
      <c r="L386" s="10" t="s">
        <v>22</v>
      </c>
      <c r="M386" s="10">
        <f>IF(Table1[[#This Row],[ID ROW]]&lt;=12,Table1[[#This Row],[ID ROW]],Table1[[#This Row],[ID ROW]]+INT((Table1[[#This Row],[ID ROW]]-1)/12)*2)</f>
        <v>80</v>
      </c>
      <c r="N386" s="10" t="str">
        <f t="shared" si="23"/>
        <v>RSR80B5</v>
      </c>
      <c r="O386" s="10">
        <f>IF(Table1[[#This Row],[ID ROW]]&lt;=12,1,INT((Table1[[#This Row],[ID ROW]]-1)/12)+1)</f>
        <v>6</v>
      </c>
      <c r="P386" s="10">
        <f>Table1[[#This Row],[ID ROW]]-((Table1[[#This Row],[SECT]]-1)*12)</f>
        <v>10</v>
      </c>
    </row>
    <row r="387" spans="1:16" ht="15.75" customHeight="1" x14ac:dyDescent="0.3">
      <c r="A387" s="6" t="s">
        <v>1406</v>
      </c>
      <c r="B387" s="6" t="s">
        <v>1407</v>
      </c>
      <c r="C387" s="6" t="s">
        <v>1408</v>
      </c>
      <c r="D387" s="6" t="s">
        <v>1409</v>
      </c>
      <c r="F387" s="13" t="s">
        <v>1410</v>
      </c>
      <c r="G387" s="8">
        <v>386</v>
      </c>
      <c r="H387" s="9" t="s">
        <v>21</v>
      </c>
      <c r="I387" s="9">
        <f t="shared" ref="I387:I450" si="25">INT((G387-1)/11)*2 + IF(MOD(G387-1, 11) &lt; 6, 1, 2)</f>
        <v>71</v>
      </c>
      <c r="J387" s="9">
        <f t="shared" si="24"/>
        <v>1</v>
      </c>
      <c r="K387" s="10" t="str">
        <f t="shared" ref="K387:K450" si="26">H387&amp;"R"&amp;I387&amp;"B"&amp;J387</f>
        <v>S1R71B1</v>
      </c>
      <c r="L387" s="10" t="s">
        <v>22</v>
      </c>
      <c r="M387" s="10">
        <f>IF(Table1[[#This Row],[ID ROW]]&lt;=12,Table1[[#This Row],[ID ROW]],Table1[[#This Row],[ID ROW]]+INT((Table1[[#This Row],[ID ROW]]-1)/12)*2)</f>
        <v>81</v>
      </c>
      <c r="N387" s="10" t="str">
        <f t="shared" ref="N387:N450" si="27">L387&amp;"R"&amp;M387&amp;"B"&amp;J387</f>
        <v>RSR81B1</v>
      </c>
      <c r="O387" s="10">
        <f>IF(Table1[[#This Row],[ID ROW]]&lt;=12,1,INT((Table1[[#This Row],[ID ROW]]-1)/12)+1)</f>
        <v>6</v>
      </c>
      <c r="P387" s="10">
        <f>Table1[[#This Row],[ID ROW]]-((Table1[[#This Row],[SECT]]-1)*12)</f>
        <v>11</v>
      </c>
    </row>
    <row r="388" spans="1:16" ht="15.75" customHeight="1" x14ac:dyDescent="0.25">
      <c r="A388" s="6" t="s">
        <v>1411</v>
      </c>
      <c r="B388" s="6" t="s">
        <v>234</v>
      </c>
      <c r="C388" s="6" t="s">
        <v>235</v>
      </c>
      <c r="F388" s="7" t="s">
        <v>1412</v>
      </c>
      <c r="G388" s="8">
        <v>387</v>
      </c>
      <c r="H388" s="9" t="s">
        <v>21</v>
      </c>
      <c r="I388" s="9">
        <f t="shared" si="25"/>
        <v>71</v>
      </c>
      <c r="J388" s="9">
        <f t="shared" si="24"/>
        <v>2</v>
      </c>
      <c r="K388" s="10" t="str">
        <f t="shared" si="26"/>
        <v>S1R71B2</v>
      </c>
      <c r="L388" s="10" t="s">
        <v>22</v>
      </c>
      <c r="M388" s="10">
        <f>IF(Table1[[#This Row],[ID ROW]]&lt;=12,Table1[[#This Row],[ID ROW]],Table1[[#This Row],[ID ROW]]+INT((Table1[[#This Row],[ID ROW]]-1)/12)*2)</f>
        <v>81</v>
      </c>
      <c r="N388" s="10" t="str">
        <f t="shared" si="27"/>
        <v>RSR81B2</v>
      </c>
      <c r="O388" s="10">
        <f>IF(Table1[[#This Row],[ID ROW]]&lt;=12,1,INT((Table1[[#This Row],[ID ROW]]-1)/12)+1)</f>
        <v>6</v>
      </c>
      <c r="P388" s="10">
        <f>Table1[[#This Row],[ID ROW]]-((Table1[[#This Row],[SECT]]-1)*12)</f>
        <v>11</v>
      </c>
    </row>
    <row r="389" spans="1:16" ht="15.75" customHeight="1" x14ac:dyDescent="0.3">
      <c r="A389" s="6" t="s">
        <v>1413</v>
      </c>
      <c r="B389" s="6" t="s">
        <v>1414</v>
      </c>
      <c r="C389" s="6" t="s">
        <v>1415</v>
      </c>
      <c r="D389" s="6" t="s">
        <v>1416</v>
      </c>
      <c r="F389" s="13" t="s">
        <v>1417</v>
      </c>
      <c r="G389" s="8">
        <v>388</v>
      </c>
      <c r="H389" s="9" t="s">
        <v>21</v>
      </c>
      <c r="I389" s="9">
        <f t="shared" si="25"/>
        <v>71</v>
      </c>
      <c r="J389" s="9">
        <f t="shared" si="24"/>
        <v>3</v>
      </c>
      <c r="K389" s="10" t="str">
        <f t="shared" si="26"/>
        <v>S1R71B3</v>
      </c>
      <c r="L389" s="10" t="s">
        <v>22</v>
      </c>
      <c r="M389" s="10">
        <f>IF(Table1[[#This Row],[ID ROW]]&lt;=12,Table1[[#This Row],[ID ROW]],Table1[[#This Row],[ID ROW]]+INT((Table1[[#This Row],[ID ROW]]-1)/12)*2)</f>
        <v>81</v>
      </c>
      <c r="N389" s="10" t="str">
        <f t="shared" si="27"/>
        <v>RSR81B3</v>
      </c>
      <c r="O389" s="10">
        <f>IF(Table1[[#This Row],[ID ROW]]&lt;=12,1,INT((Table1[[#This Row],[ID ROW]]-1)/12)+1)</f>
        <v>6</v>
      </c>
      <c r="P389" s="10">
        <f>Table1[[#This Row],[ID ROW]]-((Table1[[#This Row],[SECT]]-1)*12)</f>
        <v>11</v>
      </c>
    </row>
    <row r="390" spans="1:16" ht="15.75" customHeight="1" x14ac:dyDescent="0.25">
      <c r="A390" s="6" t="s">
        <v>1418</v>
      </c>
      <c r="B390" s="6" t="s">
        <v>1419</v>
      </c>
      <c r="C390" s="6" t="s">
        <v>1420</v>
      </c>
      <c r="D390" s="6" t="s">
        <v>1421</v>
      </c>
      <c r="F390" s="7" t="s">
        <v>1422</v>
      </c>
      <c r="G390" s="8">
        <v>389</v>
      </c>
      <c r="H390" s="9" t="s">
        <v>21</v>
      </c>
      <c r="I390" s="9">
        <f t="shared" si="25"/>
        <v>71</v>
      </c>
      <c r="J390" s="9">
        <f t="shared" si="24"/>
        <v>4</v>
      </c>
      <c r="K390" s="10" t="str">
        <f t="shared" si="26"/>
        <v>S1R71B4</v>
      </c>
      <c r="L390" s="10" t="s">
        <v>22</v>
      </c>
      <c r="M390" s="10">
        <f>IF(Table1[[#This Row],[ID ROW]]&lt;=12,Table1[[#This Row],[ID ROW]],Table1[[#This Row],[ID ROW]]+INT((Table1[[#This Row],[ID ROW]]-1)/12)*2)</f>
        <v>81</v>
      </c>
      <c r="N390" s="10" t="str">
        <f t="shared" si="27"/>
        <v>RSR81B4</v>
      </c>
      <c r="O390" s="10">
        <f>IF(Table1[[#This Row],[ID ROW]]&lt;=12,1,INT((Table1[[#This Row],[ID ROW]]-1)/12)+1)</f>
        <v>6</v>
      </c>
      <c r="P390" s="10">
        <f>Table1[[#This Row],[ID ROW]]-((Table1[[#This Row],[SECT]]-1)*12)</f>
        <v>11</v>
      </c>
    </row>
    <row r="391" spans="1:16" ht="15.75" customHeight="1" x14ac:dyDescent="0.3">
      <c r="A391" s="6" t="s">
        <v>1423</v>
      </c>
      <c r="B391" s="6" t="s">
        <v>1177</v>
      </c>
      <c r="C391" s="6" t="s">
        <v>296</v>
      </c>
      <c r="D391" s="6" t="s">
        <v>449</v>
      </c>
      <c r="F391" s="13" t="s">
        <v>1424</v>
      </c>
      <c r="G391" s="8">
        <v>390</v>
      </c>
      <c r="H391" s="9" t="s">
        <v>21</v>
      </c>
      <c r="I391" s="9">
        <f t="shared" si="25"/>
        <v>71</v>
      </c>
      <c r="J391" s="9">
        <f t="shared" si="24"/>
        <v>5</v>
      </c>
      <c r="K391" s="10" t="str">
        <f t="shared" si="26"/>
        <v>S1R71B5</v>
      </c>
      <c r="L391" s="10" t="s">
        <v>22</v>
      </c>
      <c r="M391" s="10">
        <f>IF(Table1[[#This Row],[ID ROW]]&lt;=12,Table1[[#This Row],[ID ROW]],Table1[[#This Row],[ID ROW]]+INT((Table1[[#This Row],[ID ROW]]-1)/12)*2)</f>
        <v>81</v>
      </c>
      <c r="N391" s="10" t="str">
        <f t="shared" si="27"/>
        <v>RSR81B5</v>
      </c>
      <c r="O391" s="10">
        <f>IF(Table1[[#This Row],[ID ROW]]&lt;=12,1,INT((Table1[[#This Row],[ID ROW]]-1)/12)+1)</f>
        <v>6</v>
      </c>
      <c r="P391" s="10">
        <f>Table1[[#This Row],[ID ROW]]-((Table1[[#This Row],[SECT]]-1)*12)</f>
        <v>11</v>
      </c>
    </row>
    <row r="392" spans="1:16" ht="15.75" customHeight="1" x14ac:dyDescent="0.25">
      <c r="A392" s="6" t="s">
        <v>1425</v>
      </c>
      <c r="B392" s="6" t="s">
        <v>1426</v>
      </c>
      <c r="C392" s="6" t="s">
        <v>1236</v>
      </c>
      <c r="F392" s="7" t="s">
        <v>1427</v>
      </c>
      <c r="G392" s="8">
        <v>391</v>
      </c>
      <c r="H392" s="9" t="s">
        <v>21</v>
      </c>
      <c r="I392" s="9">
        <f t="shared" si="25"/>
        <v>71</v>
      </c>
      <c r="J392" s="9">
        <f t="shared" si="24"/>
        <v>6</v>
      </c>
      <c r="K392" s="10" t="str">
        <f t="shared" si="26"/>
        <v>S1R71B6</v>
      </c>
      <c r="L392" s="10" t="s">
        <v>22</v>
      </c>
      <c r="M392" s="10">
        <f>IF(Table1[[#This Row],[ID ROW]]&lt;=12,Table1[[#This Row],[ID ROW]],Table1[[#This Row],[ID ROW]]+INT((Table1[[#This Row],[ID ROW]]-1)/12)*2)</f>
        <v>81</v>
      </c>
      <c r="N392" s="10" t="str">
        <f t="shared" si="27"/>
        <v>RSR81B6</v>
      </c>
      <c r="O392" s="10">
        <f>IF(Table1[[#This Row],[ID ROW]]&lt;=12,1,INT((Table1[[#This Row],[ID ROW]]-1)/12)+1)</f>
        <v>6</v>
      </c>
      <c r="P392" s="10">
        <f>Table1[[#This Row],[ID ROW]]-((Table1[[#This Row],[SECT]]-1)*12)</f>
        <v>11</v>
      </c>
    </row>
    <row r="393" spans="1:16" ht="15.75" customHeight="1" x14ac:dyDescent="0.3">
      <c r="A393" s="6" t="s">
        <v>1428</v>
      </c>
      <c r="B393" s="6" t="s">
        <v>1429</v>
      </c>
      <c r="C393" s="6" t="s">
        <v>1430</v>
      </c>
      <c r="D393" s="6" t="s">
        <v>1431</v>
      </c>
      <c r="F393" s="13" t="s">
        <v>1432</v>
      </c>
      <c r="G393" s="8">
        <v>392</v>
      </c>
      <c r="H393" s="9" t="s">
        <v>21</v>
      </c>
      <c r="I393" s="9">
        <f t="shared" si="25"/>
        <v>72</v>
      </c>
      <c r="J393" s="9">
        <f t="shared" si="24"/>
        <v>1</v>
      </c>
      <c r="K393" s="10" t="str">
        <f t="shared" si="26"/>
        <v>S1R72B1</v>
      </c>
      <c r="L393" s="10" t="s">
        <v>22</v>
      </c>
      <c r="M393" s="10">
        <f>IF(Table1[[#This Row],[ID ROW]]&lt;=12,Table1[[#This Row],[ID ROW]],Table1[[#This Row],[ID ROW]]+INT((Table1[[#This Row],[ID ROW]]-1)/12)*2)</f>
        <v>82</v>
      </c>
      <c r="N393" s="10" t="str">
        <f t="shared" si="27"/>
        <v>RSR82B1</v>
      </c>
      <c r="O393" s="10">
        <f>IF(Table1[[#This Row],[ID ROW]]&lt;=12,1,INT((Table1[[#This Row],[ID ROW]]-1)/12)+1)</f>
        <v>6</v>
      </c>
      <c r="P393" s="10">
        <f>Table1[[#This Row],[ID ROW]]-((Table1[[#This Row],[SECT]]-1)*12)</f>
        <v>12</v>
      </c>
    </row>
    <row r="394" spans="1:16" ht="15.75" customHeight="1" x14ac:dyDescent="0.25">
      <c r="A394" s="6" t="s">
        <v>1433</v>
      </c>
      <c r="B394" s="6" t="s">
        <v>1434</v>
      </c>
      <c r="C394" s="6" t="s">
        <v>1216</v>
      </c>
      <c r="F394" s="7" t="s">
        <v>1412</v>
      </c>
      <c r="G394" s="8">
        <v>393</v>
      </c>
      <c r="H394" s="9" t="s">
        <v>21</v>
      </c>
      <c r="I394" s="9">
        <f t="shared" si="25"/>
        <v>72</v>
      </c>
      <c r="J394" s="9">
        <f t="shared" si="24"/>
        <v>2</v>
      </c>
      <c r="K394" s="10" t="str">
        <f t="shared" si="26"/>
        <v>S1R72B2</v>
      </c>
      <c r="L394" s="10" t="s">
        <v>22</v>
      </c>
      <c r="M394" s="10">
        <f>IF(Table1[[#This Row],[ID ROW]]&lt;=12,Table1[[#This Row],[ID ROW]],Table1[[#This Row],[ID ROW]]+INT((Table1[[#This Row],[ID ROW]]-1)/12)*2)</f>
        <v>82</v>
      </c>
      <c r="N394" s="10" t="str">
        <f t="shared" si="27"/>
        <v>RSR82B2</v>
      </c>
      <c r="O394" s="10">
        <f>IF(Table1[[#This Row],[ID ROW]]&lt;=12,1,INT((Table1[[#This Row],[ID ROW]]-1)/12)+1)</f>
        <v>6</v>
      </c>
      <c r="P394" s="10">
        <f>Table1[[#This Row],[ID ROW]]-((Table1[[#This Row],[SECT]]-1)*12)</f>
        <v>12</v>
      </c>
    </row>
    <row r="395" spans="1:16" ht="15.75" customHeight="1" x14ac:dyDescent="0.3">
      <c r="A395" s="6" t="s">
        <v>1435</v>
      </c>
      <c r="B395" s="6" t="s">
        <v>1436</v>
      </c>
      <c r="C395" s="6" t="s">
        <v>1437</v>
      </c>
      <c r="D395" s="6" t="s">
        <v>1438</v>
      </c>
      <c r="F395" s="13" t="s">
        <v>1439</v>
      </c>
      <c r="G395" s="8">
        <v>394</v>
      </c>
      <c r="H395" s="9" t="s">
        <v>21</v>
      </c>
      <c r="I395" s="9">
        <f t="shared" si="25"/>
        <v>72</v>
      </c>
      <c r="J395" s="9">
        <f t="shared" si="24"/>
        <v>3</v>
      </c>
      <c r="K395" s="10" t="str">
        <f t="shared" si="26"/>
        <v>S1R72B3</v>
      </c>
      <c r="L395" s="10" t="s">
        <v>22</v>
      </c>
      <c r="M395" s="10">
        <f>IF(Table1[[#This Row],[ID ROW]]&lt;=12,Table1[[#This Row],[ID ROW]],Table1[[#This Row],[ID ROW]]+INT((Table1[[#This Row],[ID ROW]]-1)/12)*2)</f>
        <v>82</v>
      </c>
      <c r="N395" s="10" t="str">
        <f t="shared" si="27"/>
        <v>RSR82B3</v>
      </c>
      <c r="O395" s="10">
        <f>IF(Table1[[#This Row],[ID ROW]]&lt;=12,1,INT((Table1[[#This Row],[ID ROW]]-1)/12)+1)</f>
        <v>6</v>
      </c>
      <c r="P395" s="10">
        <f>Table1[[#This Row],[ID ROW]]-((Table1[[#This Row],[SECT]]-1)*12)</f>
        <v>12</v>
      </c>
    </row>
    <row r="396" spans="1:16" ht="15.75" customHeight="1" x14ac:dyDescent="0.25">
      <c r="A396" s="6" t="s">
        <v>1435</v>
      </c>
      <c r="B396" s="6" t="s">
        <v>1436</v>
      </c>
      <c r="C396" s="6" t="s">
        <v>1437</v>
      </c>
      <c r="D396" s="6" t="s">
        <v>1438</v>
      </c>
      <c r="F396" s="7"/>
      <c r="G396" s="8">
        <v>395</v>
      </c>
      <c r="H396" s="9" t="s">
        <v>21</v>
      </c>
      <c r="I396" s="9">
        <f t="shared" si="25"/>
        <v>72</v>
      </c>
      <c r="J396" s="9">
        <f t="shared" si="24"/>
        <v>4</v>
      </c>
      <c r="K396" s="10" t="str">
        <f t="shared" si="26"/>
        <v>S1R72B4</v>
      </c>
      <c r="L396" s="10" t="s">
        <v>22</v>
      </c>
      <c r="M396" s="10">
        <f>IF(Table1[[#This Row],[ID ROW]]&lt;=12,Table1[[#This Row],[ID ROW]],Table1[[#This Row],[ID ROW]]+INT((Table1[[#This Row],[ID ROW]]-1)/12)*2)</f>
        <v>82</v>
      </c>
      <c r="N396" s="10" t="str">
        <f t="shared" si="27"/>
        <v>RSR82B4</v>
      </c>
      <c r="O396" s="10">
        <f>IF(Table1[[#This Row],[ID ROW]]&lt;=12,1,INT((Table1[[#This Row],[ID ROW]]-1)/12)+1)</f>
        <v>6</v>
      </c>
      <c r="P396" s="10">
        <f>Table1[[#This Row],[ID ROW]]-((Table1[[#This Row],[SECT]]-1)*12)</f>
        <v>12</v>
      </c>
    </row>
    <row r="397" spans="1:16" ht="15.75" customHeight="1" x14ac:dyDescent="0.3">
      <c r="A397" s="6" t="s">
        <v>1440</v>
      </c>
      <c r="B397" s="6" t="s">
        <v>1441</v>
      </c>
      <c r="C397" s="6" t="s">
        <v>1442</v>
      </c>
      <c r="D397" s="6" t="s">
        <v>1443</v>
      </c>
      <c r="F397" s="13" t="s">
        <v>1444</v>
      </c>
      <c r="G397" s="8">
        <v>396</v>
      </c>
      <c r="H397" s="9" t="s">
        <v>21</v>
      </c>
      <c r="I397" s="9">
        <f t="shared" si="25"/>
        <v>72</v>
      </c>
      <c r="J397" s="9">
        <f t="shared" si="24"/>
        <v>5</v>
      </c>
      <c r="K397" s="10" t="str">
        <f t="shared" si="26"/>
        <v>S1R72B5</v>
      </c>
      <c r="L397" s="10" t="s">
        <v>22</v>
      </c>
      <c r="M397" s="10">
        <f>IF(Table1[[#This Row],[ID ROW]]&lt;=12,Table1[[#This Row],[ID ROW]],Table1[[#This Row],[ID ROW]]+INT((Table1[[#This Row],[ID ROW]]-1)/12)*2)</f>
        <v>82</v>
      </c>
      <c r="N397" s="10" t="str">
        <f t="shared" si="27"/>
        <v>RSR82B5</v>
      </c>
      <c r="O397" s="10">
        <f>IF(Table1[[#This Row],[ID ROW]]&lt;=12,1,INT((Table1[[#This Row],[ID ROW]]-1)/12)+1)</f>
        <v>6</v>
      </c>
      <c r="P397" s="10">
        <f>Table1[[#This Row],[ID ROW]]-((Table1[[#This Row],[SECT]]-1)*12)</f>
        <v>12</v>
      </c>
    </row>
    <row r="398" spans="1:16" ht="15.75" customHeight="1" x14ac:dyDescent="0.25">
      <c r="A398" s="6" t="s">
        <v>1445</v>
      </c>
      <c r="B398" s="6" t="s">
        <v>1446</v>
      </c>
      <c r="C398" s="6" t="s">
        <v>1447</v>
      </c>
      <c r="D398" s="6" t="s">
        <v>1448</v>
      </c>
      <c r="F398" s="7" t="s">
        <v>1449</v>
      </c>
      <c r="G398" s="8">
        <v>397</v>
      </c>
      <c r="H398" s="9" t="s">
        <v>21</v>
      </c>
      <c r="I398" s="9">
        <f t="shared" si="25"/>
        <v>73</v>
      </c>
      <c r="J398" s="9">
        <f t="shared" si="24"/>
        <v>1</v>
      </c>
      <c r="K398" s="10" t="str">
        <f t="shared" si="26"/>
        <v>S1R73B1</v>
      </c>
      <c r="L398" s="10" t="s">
        <v>22</v>
      </c>
      <c r="M398" s="10">
        <f>IF(Table1[[#This Row],[ID ROW]]&lt;=12,Table1[[#This Row],[ID ROW]],Table1[[#This Row],[ID ROW]]+INT((Table1[[#This Row],[ID ROW]]-1)/12)*2)</f>
        <v>85</v>
      </c>
      <c r="N398" s="10" t="str">
        <f t="shared" si="27"/>
        <v>RSR85B1</v>
      </c>
      <c r="O398" s="10">
        <f>IF(Table1[[#This Row],[ID ROW]]&lt;=12,1,INT((Table1[[#This Row],[ID ROW]]-1)/12)+1)</f>
        <v>7</v>
      </c>
      <c r="P398" s="10">
        <f>Table1[[#This Row],[ID ROW]]-((Table1[[#This Row],[SECT]]-1)*12)</f>
        <v>1</v>
      </c>
    </row>
    <row r="399" spans="1:16" ht="15.75" customHeight="1" x14ac:dyDescent="0.3">
      <c r="A399" s="6" t="s">
        <v>1450</v>
      </c>
      <c r="B399" s="6" t="s">
        <v>1451</v>
      </c>
      <c r="C399" s="6" t="s">
        <v>1236</v>
      </c>
      <c r="F399" s="13" t="s">
        <v>1452</v>
      </c>
      <c r="G399" s="8">
        <v>398</v>
      </c>
      <c r="H399" s="9" t="s">
        <v>21</v>
      </c>
      <c r="I399" s="9">
        <f t="shared" si="25"/>
        <v>73</v>
      </c>
      <c r="J399" s="9">
        <f t="shared" si="24"/>
        <v>2</v>
      </c>
      <c r="K399" s="10" t="str">
        <f t="shared" si="26"/>
        <v>S1R73B2</v>
      </c>
      <c r="L399" s="10" t="s">
        <v>22</v>
      </c>
      <c r="M399" s="10">
        <f>IF(Table1[[#This Row],[ID ROW]]&lt;=12,Table1[[#This Row],[ID ROW]],Table1[[#This Row],[ID ROW]]+INT((Table1[[#This Row],[ID ROW]]-1)/12)*2)</f>
        <v>85</v>
      </c>
      <c r="N399" s="10" t="str">
        <f t="shared" si="27"/>
        <v>RSR85B2</v>
      </c>
      <c r="O399" s="10">
        <f>IF(Table1[[#This Row],[ID ROW]]&lt;=12,1,INT((Table1[[#This Row],[ID ROW]]-1)/12)+1)</f>
        <v>7</v>
      </c>
      <c r="P399" s="10">
        <f>Table1[[#This Row],[ID ROW]]-((Table1[[#This Row],[SECT]]-1)*12)</f>
        <v>1</v>
      </c>
    </row>
    <row r="400" spans="1:16" ht="15.75" customHeight="1" x14ac:dyDescent="0.25">
      <c r="A400" s="6" t="s">
        <v>1453</v>
      </c>
      <c r="B400" s="6" t="s">
        <v>1454</v>
      </c>
      <c r="C400" s="6" t="s">
        <v>1455</v>
      </c>
      <c r="D400" s="6" t="s">
        <v>1456</v>
      </c>
      <c r="F400" s="7" t="s">
        <v>1457</v>
      </c>
      <c r="G400" s="8">
        <v>399</v>
      </c>
      <c r="H400" s="9" t="s">
        <v>21</v>
      </c>
      <c r="I400" s="9">
        <f t="shared" si="25"/>
        <v>73</v>
      </c>
      <c r="J400" s="9">
        <f t="shared" si="24"/>
        <v>3</v>
      </c>
      <c r="K400" s="10" t="str">
        <f t="shared" si="26"/>
        <v>S1R73B3</v>
      </c>
      <c r="L400" s="10" t="s">
        <v>22</v>
      </c>
      <c r="M400" s="10">
        <f>IF(Table1[[#This Row],[ID ROW]]&lt;=12,Table1[[#This Row],[ID ROW]],Table1[[#This Row],[ID ROW]]+INT((Table1[[#This Row],[ID ROW]]-1)/12)*2)</f>
        <v>85</v>
      </c>
      <c r="N400" s="10" t="str">
        <f t="shared" si="27"/>
        <v>RSR85B3</v>
      </c>
      <c r="O400" s="10">
        <f>IF(Table1[[#This Row],[ID ROW]]&lt;=12,1,INT((Table1[[#This Row],[ID ROW]]-1)/12)+1)</f>
        <v>7</v>
      </c>
      <c r="P400" s="10">
        <f>Table1[[#This Row],[ID ROW]]-((Table1[[#This Row],[SECT]]-1)*12)</f>
        <v>1</v>
      </c>
    </row>
    <row r="401" spans="1:16" ht="15.75" customHeight="1" x14ac:dyDescent="0.3">
      <c r="A401" s="6" t="s">
        <v>1458</v>
      </c>
      <c r="B401" s="6" t="s">
        <v>1459</v>
      </c>
      <c r="C401" s="6" t="s">
        <v>1460</v>
      </c>
      <c r="D401" s="6" t="s">
        <v>1461</v>
      </c>
      <c r="F401" s="13" t="s">
        <v>1462</v>
      </c>
      <c r="G401" s="8">
        <v>400</v>
      </c>
      <c r="H401" s="9" t="s">
        <v>21</v>
      </c>
      <c r="I401" s="9">
        <f t="shared" si="25"/>
        <v>73</v>
      </c>
      <c r="J401" s="9">
        <f t="shared" si="24"/>
        <v>4</v>
      </c>
      <c r="K401" s="10" t="str">
        <f t="shared" si="26"/>
        <v>S1R73B4</v>
      </c>
      <c r="L401" s="10" t="s">
        <v>22</v>
      </c>
      <c r="M401" s="10">
        <f>IF(Table1[[#This Row],[ID ROW]]&lt;=12,Table1[[#This Row],[ID ROW]],Table1[[#This Row],[ID ROW]]+INT((Table1[[#This Row],[ID ROW]]-1)/12)*2)</f>
        <v>85</v>
      </c>
      <c r="N401" s="10" t="str">
        <f t="shared" si="27"/>
        <v>RSR85B4</v>
      </c>
      <c r="O401" s="10">
        <f>IF(Table1[[#This Row],[ID ROW]]&lt;=12,1,INT((Table1[[#This Row],[ID ROW]]-1)/12)+1)</f>
        <v>7</v>
      </c>
      <c r="P401" s="10">
        <f>Table1[[#This Row],[ID ROW]]-((Table1[[#This Row],[SECT]]-1)*12)</f>
        <v>1</v>
      </c>
    </row>
    <row r="402" spans="1:16" ht="15.75" customHeight="1" x14ac:dyDescent="0.25">
      <c r="A402" s="6" t="s">
        <v>1463</v>
      </c>
      <c r="B402" s="6" t="s">
        <v>1464</v>
      </c>
      <c r="C402" s="6" t="s">
        <v>1465</v>
      </c>
      <c r="F402" s="7" t="s">
        <v>1466</v>
      </c>
      <c r="G402" s="8">
        <v>401</v>
      </c>
      <c r="H402" s="9" t="s">
        <v>21</v>
      </c>
      <c r="I402" s="9">
        <f t="shared" si="25"/>
        <v>73</v>
      </c>
      <c r="J402" s="9">
        <f t="shared" si="24"/>
        <v>5</v>
      </c>
      <c r="K402" s="10" t="str">
        <f t="shared" si="26"/>
        <v>S1R73B5</v>
      </c>
      <c r="L402" s="10" t="s">
        <v>22</v>
      </c>
      <c r="M402" s="10">
        <f>IF(Table1[[#This Row],[ID ROW]]&lt;=12,Table1[[#This Row],[ID ROW]],Table1[[#This Row],[ID ROW]]+INT((Table1[[#This Row],[ID ROW]]-1)/12)*2)</f>
        <v>85</v>
      </c>
      <c r="N402" s="10" t="str">
        <f t="shared" si="27"/>
        <v>RSR85B5</v>
      </c>
      <c r="O402" s="10">
        <f>IF(Table1[[#This Row],[ID ROW]]&lt;=12,1,INT((Table1[[#This Row],[ID ROW]]-1)/12)+1)</f>
        <v>7</v>
      </c>
      <c r="P402" s="10">
        <f>Table1[[#This Row],[ID ROW]]-((Table1[[#This Row],[SECT]]-1)*12)</f>
        <v>1</v>
      </c>
    </row>
    <row r="403" spans="1:16" ht="15.75" customHeight="1" x14ac:dyDescent="0.3">
      <c r="A403" s="6" t="s">
        <v>1467</v>
      </c>
      <c r="B403" s="6" t="s">
        <v>1468</v>
      </c>
      <c r="C403" s="6" t="s">
        <v>1469</v>
      </c>
      <c r="D403" s="6" t="s">
        <v>1470</v>
      </c>
      <c r="F403" s="13" t="s">
        <v>1471</v>
      </c>
      <c r="G403" s="8">
        <v>402</v>
      </c>
      <c r="H403" s="9" t="s">
        <v>21</v>
      </c>
      <c r="I403" s="9">
        <f t="shared" si="25"/>
        <v>73</v>
      </c>
      <c r="J403" s="9">
        <f t="shared" si="24"/>
        <v>6</v>
      </c>
      <c r="K403" s="10" t="str">
        <f t="shared" si="26"/>
        <v>S1R73B6</v>
      </c>
      <c r="L403" s="10" t="s">
        <v>22</v>
      </c>
      <c r="M403" s="10">
        <f>IF(Table1[[#This Row],[ID ROW]]&lt;=12,Table1[[#This Row],[ID ROW]],Table1[[#This Row],[ID ROW]]+INT((Table1[[#This Row],[ID ROW]]-1)/12)*2)</f>
        <v>85</v>
      </c>
      <c r="N403" s="10" t="str">
        <f t="shared" si="27"/>
        <v>RSR85B6</v>
      </c>
      <c r="O403" s="10">
        <f>IF(Table1[[#This Row],[ID ROW]]&lt;=12,1,INT((Table1[[#This Row],[ID ROW]]-1)/12)+1)</f>
        <v>7</v>
      </c>
      <c r="P403" s="10">
        <f>Table1[[#This Row],[ID ROW]]-((Table1[[#This Row],[SECT]]-1)*12)</f>
        <v>1</v>
      </c>
    </row>
    <row r="404" spans="1:16" ht="15.75" customHeight="1" x14ac:dyDescent="0.25">
      <c r="A404" s="6" t="s">
        <v>1472</v>
      </c>
      <c r="B404" s="6" t="s">
        <v>1473</v>
      </c>
      <c r="C404" s="6" t="s">
        <v>1474</v>
      </c>
      <c r="D404" s="6" t="s">
        <v>1475</v>
      </c>
      <c r="F404" s="7" t="s">
        <v>1471</v>
      </c>
      <c r="G404" s="8">
        <v>403</v>
      </c>
      <c r="H404" s="9" t="s">
        <v>21</v>
      </c>
      <c r="I404" s="9">
        <f t="shared" si="25"/>
        <v>74</v>
      </c>
      <c r="J404" s="9">
        <f t="shared" si="24"/>
        <v>1</v>
      </c>
      <c r="K404" s="10" t="str">
        <f t="shared" si="26"/>
        <v>S1R74B1</v>
      </c>
      <c r="L404" s="10" t="s">
        <v>22</v>
      </c>
      <c r="M404" s="10">
        <f>IF(Table1[[#This Row],[ID ROW]]&lt;=12,Table1[[#This Row],[ID ROW]],Table1[[#This Row],[ID ROW]]+INT((Table1[[#This Row],[ID ROW]]-1)/12)*2)</f>
        <v>86</v>
      </c>
      <c r="N404" s="10" t="str">
        <f t="shared" si="27"/>
        <v>RSR86B1</v>
      </c>
      <c r="O404" s="10">
        <f>IF(Table1[[#This Row],[ID ROW]]&lt;=12,1,INT((Table1[[#This Row],[ID ROW]]-1)/12)+1)</f>
        <v>7</v>
      </c>
      <c r="P404" s="10">
        <f>Table1[[#This Row],[ID ROW]]-((Table1[[#This Row],[SECT]]-1)*12)</f>
        <v>2</v>
      </c>
    </row>
    <row r="405" spans="1:16" ht="15.75" customHeight="1" x14ac:dyDescent="0.3">
      <c r="A405" s="6" t="s">
        <v>1476</v>
      </c>
      <c r="B405" s="6" t="s">
        <v>1477</v>
      </c>
      <c r="C405" s="6" t="s">
        <v>1478</v>
      </c>
      <c r="D405" s="6" t="s">
        <v>1479</v>
      </c>
      <c r="F405" s="13" t="s">
        <v>1471</v>
      </c>
      <c r="G405" s="8">
        <v>404</v>
      </c>
      <c r="H405" s="9" t="s">
        <v>21</v>
      </c>
      <c r="I405" s="9">
        <f t="shared" si="25"/>
        <v>74</v>
      </c>
      <c r="J405" s="9">
        <f t="shared" si="24"/>
        <v>2</v>
      </c>
      <c r="K405" s="10" t="str">
        <f t="shared" si="26"/>
        <v>S1R74B2</v>
      </c>
      <c r="L405" s="10" t="s">
        <v>22</v>
      </c>
      <c r="M405" s="10">
        <f>IF(Table1[[#This Row],[ID ROW]]&lt;=12,Table1[[#This Row],[ID ROW]],Table1[[#This Row],[ID ROW]]+INT((Table1[[#This Row],[ID ROW]]-1)/12)*2)</f>
        <v>86</v>
      </c>
      <c r="N405" s="10" t="str">
        <f t="shared" si="27"/>
        <v>RSR86B2</v>
      </c>
      <c r="O405" s="10">
        <f>IF(Table1[[#This Row],[ID ROW]]&lt;=12,1,INT((Table1[[#This Row],[ID ROW]]-1)/12)+1)</f>
        <v>7</v>
      </c>
      <c r="P405" s="10">
        <f>Table1[[#This Row],[ID ROW]]-((Table1[[#This Row],[SECT]]-1)*12)</f>
        <v>2</v>
      </c>
    </row>
    <row r="406" spans="1:16" ht="15.75" customHeight="1" x14ac:dyDescent="0.25">
      <c r="A406" s="6" t="s">
        <v>1480</v>
      </c>
      <c r="B406" s="6" t="s">
        <v>1481</v>
      </c>
      <c r="C406" s="6" t="s">
        <v>1482</v>
      </c>
      <c r="D406" s="6" t="s">
        <v>1483</v>
      </c>
      <c r="F406" s="7" t="s">
        <v>1484</v>
      </c>
      <c r="G406" s="8">
        <v>405</v>
      </c>
      <c r="H406" s="9" t="s">
        <v>21</v>
      </c>
      <c r="I406" s="9">
        <f t="shared" si="25"/>
        <v>74</v>
      </c>
      <c r="J406" s="9">
        <f t="shared" si="24"/>
        <v>3</v>
      </c>
      <c r="K406" s="10" t="str">
        <f t="shared" si="26"/>
        <v>S1R74B3</v>
      </c>
      <c r="L406" s="10" t="s">
        <v>22</v>
      </c>
      <c r="M406" s="10">
        <f>IF(Table1[[#This Row],[ID ROW]]&lt;=12,Table1[[#This Row],[ID ROW]],Table1[[#This Row],[ID ROW]]+INT((Table1[[#This Row],[ID ROW]]-1)/12)*2)</f>
        <v>86</v>
      </c>
      <c r="N406" s="10" t="str">
        <f t="shared" si="27"/>
        <v>RSR86B3</v>
      </c>
      <c r="O406" s="10">
        <f>IF(Table1[[#This Row],[ID ROW]]&lt;=12,1,INT((Table1[[#This Row],[ID ROW]]-1)/12)+1)</f>
        <v>7</v>
      </c>
      <c r="P406" s="10">
        <f>Table1[[#This Row],[ID ROW]]-((Table1[[#This Row],[SECT]]-1)*12)</f>
        <v>2</v>
      </c>
    </row>
    <row r="407" spans="1:16" ht="15.75" customHeight="1" x14ac:dyDescent="0.3">
      <c r="A407" s="6" t="s">
        <v>1485</v>
      </c>
      <c r="B407" s="6" t="s">
        <v>1481</v>
      </c>
      <c r="C407" s="6" t="s">
        <v>1482</v>
      </c>
      <c r="D407" s="6" t="s">
        <v>1483</v>
      </c>
      <c r="F407" s="13" t="s">
        <v>1484</v>
      </c>
      <c r="G407" s="8">
        <v>406</v>
      </c>
      <c r="H407" s="9" t="s">
        <v>21</v>
      </c>
      <c r="I407" s="9">
        <f t="shared" si="25"/>
        <v>74</v>
      </c>
      <c r="J407" s="9">
        <f t="shared" si="24"/>
        <v>4</v>
      </c>
      <c r="K407" s="10" t="str">
        <f t="shared" si="26"/>
        <v>S1R74B4</v>
      </c>
      <c r="L407" s="10" t="s">
        <v>22</v>
      </c>
      <c r="M407" s="10">
        <f>IF(Table1[[#This Row],[ID ROW]]&lt;=12,Table1[[#This Row],[ID ROW]],Table1[[#This Row],[ID ROW]]+INT((Table1[[#This Row],[ID ROW]]-1)/12)*2)</f>
        <v>86</v>
      </c>
      <c r="N407" s="10" t="str">
        <f t="shared" si="27"/>
        <v>RSR86B4</v>
      </c>
      <c r="O407" s="10">
        <f>IF(Table1[[#This Row],[ID ROW]]&lt;=12,1,INT((Table1[[#This Row],[ID ROW]]-1)/12)+1)</f>
        <v>7</v>
      </c>
      <c r="P407" s="10">
        <f>Table1[[#This Row],[ID ROW]]-((Table1[[#This Row],[SECT]]-1)*12)</f>
        <v>2</v>
      </c>
    </row>
    <row r="408" spans="1:16" ht="15.75" customHeight="1" x14ac:dyDescent="0.25">
      <c r="A408" s="6" t="s">
        <v>264</v>
      </c>
      <c r="B408" s="6" t="s">
        <v>1486</v>
      </c>
      <c r="C408" s="6" t="s">
        <v>1487</v>
      </c>
      <c r="D408" s="6" t="s">
        <v>1488</v>
      </c>
      <c r="F408" s="7" t="s">
        <v>1489</v>
      </c>
      <c r="G408" s="8">
        <v>407</v>
      </c>
      <c r="H408" s="9" t="s">
        <v>21</v>
      </c>
      <c r="I408" s="9">
        <f t="shared" si="25"/>
        <v>74</v>
      </c>
      <c r="J408" s="9">
        <f t="shared" si="24"/>
        <v>5</v>
      </c>
      <c r="K408" s="10" t="str">
        <f t="shared" si="26"/>
        <v>S1R74B5</v>
      </c>
      <c r="L408" s="10" t="s">
        <v>22</v>
      </c>
      <c r="M408" s="10">
        <f>IF(Table1[[#This Row],[ID ROW]]&lt;=12,Table1[[#This Row],[ID ROW]],Table1[[#This Row],[ID ROW]]+INT((Table1[[#This Row],[ID ROW]]-1)/12)*2)</f>
        <v>86</v>
      </c>
      <c r="N408" s="10" t="str">
        <f t="shared" si="27"/>
        <v>RSR86B5</v>
      </c>
      <c r="O408" s="10">
        <f>IF(Table1[[#This Row],[ID ROW]]&lt;=12,1,INT((Table1[[#This Row],[ID ROW]]-1)/12)+1)</f>
        <v>7</v>
      </c>
      <c r="P408" s="10">
        <f>Table1[[#This Row],[ID ROW]]-((Table1[[#This Row],[SECT]]-1)*12)</f>
        <v>2</v>
      </c>
    </row>
    <row r="409" spans="1:16" ht="15.75" customHeight="1" x14ac:dyDescent="0.3">
      <c r="A409" s="6" t="s">
        <v>1490</v>
      </c>
      <c r="B409" s="6" t="s">
        <v>1491</v>
      </c>
      <c r="C409" s="6" t="s">
        <v>67</v>
      </c>
      <c r="F409" s="13" t="s">
        <v>1492</v>
      </c>
      <c r="G409" s="8">
        <v>408</v>
      </c>
      <c r="H409" s="9" t="s">
        <v>21</v>
      </c>
      <c r="I409" s="9">
        <f t="shared" si="25"/>
        <v>75</v>
      </c>
      <c r="J409" s="9">
        <f t="shared" si="24"/>
        <v>1</v>
      </c>
      <c r="K409" s="10" t="str">
        <f t="shared" si="26"/>
        <v>S1R75B1</v>
      </c>
      <c r="L409" s="10" t="s">
        <v>22</v>
      </c>
      <c r="M409" s="10">
        <f>IF(Table1[[#This Row],[ID ROW]]&lt;=12,Table1[[#This Row],[ID ROW]],Table1[[#This Row],[ID ROW]]+INT((Table1[[#This Row],[ID ROW]]-1)/12)*2)</f>
        <v>87</v>
      </c>
      <c r="N409" s="10" t="str">
        <f t="shared" si="27"/>
        <v>RSR87B1</v>
      </c>
      <c r="O409" s="10">
        <f>IF(Table1[[#This Row],[ID ROW]]&lt;=12,1,INT((Table1[[#This Row],[ID ROW]]-1)/12)+1)</f>
        <v>7</v>
      </c>
      <c r="P409" s="10">
        <f>Table1[[#This Row],[ID ROW]]-((Table1[[#This Row],[SECT]]-1)*12)</f>
        <v>3</v>
      </c>
    </row>
    <row r="410" spans="1:16" ht="15.75" customHeight="1" x14ac:dyDescent="0.25">
      <c r="A410" s="6" t="s">
        <v>1493</v>
      </c>
      <c r="B410" s="6" t="s">
        <v>1494</v>
      </c>
      <c r="C410" s="6" t="s">
        <v>1495</v>
      </c>
      <c r="D410" s="6" t="s">
        <v>1496</v>
      </c>
      <c r="F410" s="7" t="s">
        <v>1497</v>
      </c>
      <c r="G410" s="8">
        <v>409</v>
      </c>
      <c r="H410" s="9" t="s">
        <v>21</v>
      </c>
      <c r="I410" s="9">
        <f t="shared" si="25"/>
        <v>75</v>
      </c>
      <c r="J410" s="9">
        <f t="shared" si="24"/>
        <v>2</v>
      </c>
      <c r="K410" s="10" t="str">
        <f t="shared" si="26"/>
        <v>S1R75B2</v>
      </c>
      <c r="L410" s="10" t="s">
        <v>22</v>
      </c>
      <c r="M410" s="10">
        <f>IF(Table1[[#This Row],[ID ROW]]&lt;=12,Table1[[#This Row],[ID ROW]],Table1[[#This Row],[ID ROW]]+INT((Table1[[#This Row],[ID ROW]]-1)/12)*2)</f>
        <v>87</v>
      </c>
      <c r="N410" s="10" t="str">
        <f t="shared" si="27"/>
        <v>RSR87B2</v>
      </c>
      <c r="O410" s="10">
        <f>IF(Table1[[#This Row],[ID ROW]]&lt;=12,1,INT((Table1[[#This Row],[ID ROW]]-1)/12)+1)</f>
        <v>7</v>
      </c>
      <c r="P410" s="10">
        <f>Table1[[#This Row],[ID ROW]]-((Table1[[#This Row],[SECT]]-1)*12)</f>
        <v>3</v>
      </c>
    </row>
    <row r="411" spans="1:16" ht="15.75" customHeight="1" x14ac:dyDescent="0.3">
      <c r="A411" s="6" t="s">
        <v>1498</v>
      </c>
      <c r="B411" s="6" t="s">
        <v>741</v>
      </c>
      <c r="C411" s="6" t="s">
        <v>1499</v>
      </c>
      <c r="D411" s="6" t="s">
        <v>1500</v>
      </c>
      <c r="F411" s="13" t="s">
        <v>1497</v>
      </c>
      <c r="G411" s="8">
        <v>410</v>
      </c>
      <c r="H411" s="9" t="s">
        <v>21</v>
      </c>
      <c r="I411" s="9">
        <f t="shared" si="25"/>
        <v>75</v>
      </c>
      <c r="J411" s="9">
        <f t="shared" si="24"/>
        <v>3</v>
      </c>
      <c r="K411" s="10" t="str">
        <f t="shared" si="26"/>
        <v>S1R75B3</v>
      </c>
      <c r="L411" s="10" t="s">
        <v>22</v>
      </c>
      <c r="M411" s="10">
        <f>IF(Table1[[#This Row],[ID ROW]]&lt;=12,Table1[[#This Row],[ID ROW]],Table1[[#This Row],[ID ROW]]+INT((Table1[[#This Row],[ID ROW]]-1)/12)*2)</f>
        <v>87</v>
      </c>
      <c r="N411" s="10" t="str">
        <f t="shared" si="27"/>
        <v>RSR87B3</v>
      </c>
      <c r="O411" s="10">
        <f>IF(Table1[[#This Row],[ID ROW]]&lt;=12,1,INT((Table1[[#This Row],[ID ROW]]-1)/12)+1)</f>
        <v>7</v>
      </c>
      <c r="P411" s="10">
        <f>Table1[[#This Row],[ID ROW]]-((Table1[[#This Row],[SECT]]-1)*12)</f>
        <v>3</v>
      </c>
    </row>
    <row r="412" spans="1:16" ht="15.75" customHeight="1" x14ac:dyDescent="0.25">
      <c r="A412" s="6" t="s">
        <v>1501</v>
      </c>
      <c r="B412" s="6" t="s">
        <v>1502</v>
      </c>
      <c r="C412" s="6" t="s">
        <v>1503</v>
      </c>
      <c r="D412" s="6" t="s">
        <v>1504</v>
      </c>
      <c r="F412" s="7" t="s">
        <v>1505</v>
      </c>
      <c r="G412" s="8">
        <v>411</v>
      </c>
      <c r="H412" s="9" t="s">
        <v>21</v>
      </c>
      <c r="I412" s="9">
        <f t="shared" si="25"/>
        <v>75</v>
      </c>
      <c r="J412" s="9">
        <f t="shared" si="24"/>
        <v>4</v>
      </c>
      <c r="K412" s="10" t="str">
        <f t="shared" si="26"/>
        <v>S1R75B4</v>
      </c>
      <c r="L412" s="10" t="s">
        <v>22</v>
      </c>
      <c r="M412" s="10">
        <f>IF(Table1[[#This Row],[ID ROW]]&lt;=12,Table1[[#This Row],[ID ROW]],Table1[[#This Row],[ID ROW]]+INT((Table1[[#This Row],[ID ROW]]-1)/12)*2)</f>
        <v>87</v>
      </c>
      <c r="N412" s="10" t="str">
        <f t="shared" si="27"/>
        <v>RSR87B4</v>
      </c>
      <c r="O412" s="10">
        <f>IF(Table1[[#This Row],[ID ROW]]&lt;=12,1,INT((Table1[[#This Row],[ID ROW]]-1)/12)+1)</f>
        <v>7</v>
      </c>
      <c r="P412" s="10">
        <f>Table1[[#This Row],[ID ROW]]-((Table1[[#This Row],[SECT]]-1)*12)</f>
        <v>3</v>
      </c>
    </row>
    <row r="413" spans="1:16" ht="15.75" customHeight="1" x14ac:dyDescent="0.3">
      <c r="A413" s="6" t="s">
        <v>1506</v>
      </c>
      <c r="B413" s="6" t="s">
        <v>1507</v>
      </c>
      <c r="C413" s="6" t="s">
        <v>1508</v>
      </c>
      <c r="D413" s="6" t="s">
        <v>1509</v>
      </c>
      <c r="F413" s="13" t="s">
        <v>1510</v>
      </c>
      <c r="G413" s="8">
        <v>412</v>
      </c>
      <c r="H413" s="9" t="s">
        <v>21</v>
      </c>
      <c r="I413" s="9">
        <f t="shared" si="25"/>
        <v>75</v>
      </c>
      <c r="J413" s="9">
        <f t="shared" si="24"/>
        <v>5</v>
      </c>
      <c r="K413" s="10" t="str">
        <f t="shared" si="26"/>
        <v>S1R75B5</v>
      </c>
      <c r="L413" s="10" t="s">
        <v>22</v>
      </c>
      <c r="M413" s="10">
        <f>IF(Table1[[#This Row],[ID ROW]]&lt;=12,Table1[[#This Row],[ID ROW]],Table1[[#This Row],[ID ROW]]+INT((Table1[[#This Row],[ID ROW]]-1)/12)*2)</f>
        <v>87</v>
      </c>
      <c r="N413" s="10" t="str">
        <f t="shared" si="27"/>
        <v>RSR87B5</v>
      </c>
      <c r="O413" s="10">
        <f>IF(Table1[[#This Row],[ID ROW]]&lt;=12,1,INT((Table1[[#This Row],[ID ROW]]-1)/12)+1)</f>
        <v>7</v>
      </c>
      <c r="P413" s="10">
        <f>Table1[[#This Row],[ID ROW]]-((Table1[[#This Row],[SECT]]-1)*12)</f>
        <v>3</v>
      </c>
    </row>
    <row r="414" spans="1:16" ht="15.75" customHeight="1" x14ac:dyDescent="0.25">
      <c r="A414" s="6" t="s">
        <v>1511</v>
      </c>
      <c r="B414" s="6" t="s">
        <v>1263</v>
      </c>
      <c r="C414" s="6" t="s">
        <v>67</v>
      </c>
      <c r="D414" s="6" t="s">
        <v>1216</v>
      </c>
      <c r="F414" s="7" t="s">
        <v>1512</v>
      </c>
      <c r="G414" s="8">
        <v>413</v>
      </c>
      <c r="H414" s="9" t="s">
        <v>21</v>
      </c>
      <c r="I414" s="9">
        <f t="shared" si="25"/>
        <v>75</v>
      </c>
      <c r="J414" s="9">
        <f t="shared" si="24"/>
        <v>6</v>
      </c>
      <c r="K414" s="10" t="str">
        <f t="shared" si="26"/>
        <v>S1R75B6</v>
      </c>
      <c r="L414" s="10" t="s">
        <v>22</v>
      </c>
      <c r="M414" s="10">
        <f>IF(Table1[[#This Row],[ID ROW]]&lt;=12,Table1[[#This Row],[ID ROW]],Table1[[#This Row],[ID ROW]]+INT((Table1[[#This Row],[ID ROW]]-1)/12)*2)</f>
        <v>87</v>
      </c>
      <c r="N414" s="10" t="str">
        <f t="shared" si="27"/>
        <v>RSR87B6</v>
      </c>
      <c r="O414" s="10">
        <f>IF(Table1[[#This Row],[ID ROW]]&lt;=12,1,INT((Table1[[#This Row],[ID ROW]]-1)/12)+1)</f>
        <v>7</v>
      </c>
      <c r="P414" s="10">
        <f>Table1[[#This Row],[ID ROW]]-((Table1[[#This Row],[SECT]]-1)*12)</f>
        <v>3</v>
      </c>
    </row>
    <row r="415" spans="1:16" ht="15.75" customHeight="1" x14ac:dyDescent="0.3">
      <c r="A415" s="6" t="s">
        <v>1513</v>
      </c>
      <c r="B415" s="6" t="s">
        <v>1514</v>
      </c>
      <c r="C415" s="6" t="s">
        <v>1515</v>
      </c>
      <c r="D415" s="6" t="s">
        <v>1516</v>
      </c>
      <c r="F415" s="13" t="s">
        <v>1517</v>
      </c>
      <c r="G415" s="8">
        <v>414</v>
      </c>
      <c r="H415" s="9" t="s">
        <v>21</v>
      </c>
      <c r="I415" s="9">
        <f t="shared" si="25"/>
        <v>76</v>
      </c>
      <c r="J415" s="9">
        <f t="shared" si="24"/>
        <v>1</v>
      </c>
      <c r="K415" s="10" t="str">
        <f t="shared" si="26"/>
        <v>S1R76B1</v>
      </c>
      <c r="L415" s="10" t="s">
        <v>22</v>
      </c>
      <c r="M415" s="10">
        <f>IF(Table1[[#This Row],[ID ROW]]&lt;=12,Table1[[#This Row],[ID ROW]],Table1[[#This Row],[ID ROW]]+INT((Table1[[#This Row],[ID ROW]]-1)/12)*2)</f>
        <v>88</v>
      </c>
      <c r="N415" s="10" t="str">
        <f t="shared" si="27"/>
        <v>RSR88B1</v>
      </c>
      <c r="O415" s="10">
        <f>IF(Table1[[#This Row],[ID ROW]]&lt;=12,1,INT((Table1[[#This Row],[ID ROW]]-1)/12)+1)</f>
        <v>7</v>
      </c>
      <c r="P415" s="10">
        <f>Table1[[#This Row],[ID ROW]]-((Table1[[#This Row],[SECT]]-1)*12)</f>
        <v>4</v>
      </c>
    </row>
    <row r="416" spans="1:16" ht="15.75" customHeight="1" x14ac:dyDescent="0.25">
      <c r="A416" s="6" t="s">
        <v>1518</v>
      </c>
      <c r="B416" s="6" t="s">
        <v>1519</v>
      </c>
      <c r="C416" s="6" t="s">
        <v>1520</v>
      </c>
      <c r="D416" s="6" t="s">
        <v>1521</v>
      </c>
      <c r="F416" s="7" t="s">
        <v>1522</v>
      </c>
      <c r="G416" s="8">
        <v>415</v>
      </c>
      <c r="H416" s="9" t="s">
        <v>21</v>
      </c>
      <c r="I416" s="9">
        <f t="shared" si="25"/>
        <v>76</v>
      </c>
      <c r="J416" s="9">
        <f t="shared" si="24"/>
        <v>2</v>
      </c>
      <c r="K416" s="10" t="str">
        <f t="shared" si="26"/>
        <v>S1R76B2</v>
      </c>
      <c r="L416" s="10" t="s">
        <v>22</v>
      </c>
      <c r="M416" s="10">
        <f>IF(Table1[[#This Row],[ID ROW]]&lt;=12,Table1[[#This Row],[ID ROW]],Table1[[#This Row],[ID ROW]]+INT((Table1[[#This Row],[ID ROW]]-1)/12)*2)</f>
        <v>88</v>
      </c>
      <c r="N416" s="10" t="str">
        <f t="shared" si="27"/>
        <v>RSR88B2</v>
      </c>
      <c r="O416" s="10">
        <f>IF(Table1[[#This Row],[ID ROW]]&lt;=12,1,INT((Table1[[#This Row],[ID ROW]]-1)/12)+1)</f>
        <v>7</v>
      </c>
      <c r="P416" s="10">
        <f>Table1[[#This Row],[ID ROW]]-((Table1[[#This Row],[SECT]]-1)*12)</f>
        <v>4</v>
      </c>
    </row>
    <row r="417" spans="1:16" ht="15.75" customHeight="1" x14ac:dyDescent="0.3">
      <c r="A417" s="6" t="s">
        <v>1523</v>
      </c>
      <c r="B417" s="6" t="s">
        <v>1524</v>
      </c>
      <c r="C417" s="6" t="s">
        <v>1525</v>
      </c>
      <c r="D417" s="6" t="s">
        <v>1526</v>
      </c>
      <c r="F417" s="13" t="s">
        <v>1522</v>
      </c>
      <c r="G417" s="8">
        <v>416</v>
      </c>
      <c r="H417" s="9" t="s">
        <v>21</v>
      </c>
      <c r="I417" s="9">
        <f t="shared" si="25"/>
        <v>76</v>
      </c>
      <c r="J417" s="9">
        <f t="shared" si="24"/>
        <v>3</v>
      </c>
      <c r="K417" s="10" t="str">
        <f t="shared" si="26"/>
        <v>S1R76B3</v>
      </c>
      <c r="L417" s="10" t="s">
        <v>22</v>
      </c>
      <c r="M417" s="10">
        <f>IF(Table1[[#This Row],[ID ROW]]&lt;=12,Table1[[#This Row],[ID ROW]],Table1[[#This Row],[ID ROW]]+INT((Table1[[#This Row],[ID ROW]]-1)/12)*2)</f>
        <v>88</v>
      </c>
      <c r="N417" s="10" t="str">
        <f t="shared" si="27"/>
        <v>RSR88B3</v>
      </c>
      <c r="O417" s="10">
        <f>IF(Table1[[#This Row],[ID ROW]]&lt;=12,1,INT((Table1[[#This Row],[ID ROW]]-1)/12)+1)</f>
        <v>7</v>
      </c>
      <c r="P417" s="10">
        <f>Table1[[#This Row],[ID ROW]]-((Table1[[#This Row],[SECT]]-1)*12)</f>
        <v>4</v>
      </c>
    </row>
    <row r="418" spans="1:16" ht="15.75" customHeight="1" x14ac:dyDescent="0.25">
      <c r="A418" s="6" t="s">
        <v>1527</v>
      </c>
      <c r="B418" s="6" t="s">
        <v>1528</v>
      </c>
      <c r="C418" s="6" t="s">
        <v>1529</v>
      </c>
      <c r="D418" s="20">
        <v>16224</v>
      </c>
      <c r="F418" s="7" t="s">
        <v>1530</v>
      </c>
      <c r="G418" s="8">
        <v>417</v>
      </c>
      <c r="H418" s="9" t="s">
        <v>21</v>
      </c>
      <c r="I418" s="9">
        <f t="shared" si="25"/>
        <v>76</v>
      </c>
      <c r="J418" s="9">
        <f t="shared" si="24"/>
        <v>4</v>
      </c>
      <c r="K418" s="10" t="str">
        <f t="shared" si="26"/>
        <v>S1R76B4</v>
      </c>
      <c r="L418" s="10" t="s">
        <v>22</v>
      </c>
      <c r="M418" s="10">
        <f>IF(Table1[[#This Row],[ID ROW]]&lt;=12,Table1[[#This Row],[ID ROW]],Table1[[#This Row],[ID ROW]]+INT((Table1[[#This Row],[ID ROW]]-1)/12)*2)</f>
        <v>88</v>
      </c>
      <c r="N418" s="10" t="str">
        <f t="shared" si="27"/>
        <v>RSR88B4</v>
      </c>
      <c r="O418" s="10">
        <f>IF(Table1[[#This Row],[ID ROW]]&lt;=12,1,INT((Table1[[#This Row],[ID ROW]]-1)/12)+1)</f>
        <v>7</v>
      </c>
      <c r="P418" s="10">
        <f>Table1[[#This Row],[ID ROW]]-((Table1[[#This Row],[SECT]]-1)*12)</f>
        <v>4</v>
      </c>
    </row>
    <row r="419" spans="1:16" ht="15.75" customHeight="1" x14ac:dyDescent="0.3">
      <c r="A419" s="6" t="s">
        <v>1531</v>
      </c>
      <c r="B419" s="6" t="s">
        <v>1532</v>
      </c>
      <c r="C419" s="6" t="s">
        <v>364</v>
      </c>
      <c r="D419" s="6" t="s">
        <v>1533</v>
      </c>
      <c r="F419" s="13" t="s">
        <v>1534</v>
      </c>
      <c r="G419" s="8">
        <v>418</v>
      </c>
      <c r="H419" s="9" t="s">
        <v>21</v>
      </c>
      <c r="I419" s="9">
        <f t="shared" si="25"/>
        <v>76</v>
      </c>
      <c r="J419" s="9">
        <f t="shared" si="24"/>
        <v>5</v>
      </c>
      <c r="K419" s="10" t="str">
        <f t="shared" si="26"/>
        <v>S1R76B5</v>
      </c>
      <c r="L419" s="10" t="s">
        <v>22</v>
      </c>
      <c r="M419" s="10">
        <f>IF(Table1[[#This Row],[ID ROW]]&lt;=12,Table1[[#This Row],[ID ROW]],Table1[[#This Row],[ID ROW]]+INT((Table1[[#This Row],[ID ROW]]-1)/12)*2)</f>
        <v>88</v>
      </c>
      <c r="N419" s="10" t="str">
        <f t="shared" si="27"/>
        <v>RSR88B5</v>
      </c>
      <c r="O419" s="10">
        <f>IF(Table1[[#This Row],[ID ROW]]&lt;=12,1,INT((Table1[[#This Row],[ID ROW]]-1)/12)+1)</f>
        <v>7</v>
      </c>
      <c r="P419" s="10">
        <f>Table1[[#This Row],[ID ROW]]-((Table1[[#This Row],[SECT]]-1)*12)</f>
        <v>4</v>
      </c>
    </row>
    <row r="420" spans="1:16" ht="15.75" customHeight="1" x14ac:dyDescent="0.25">
      <c r="A420" s="6" t="s">
        <v>1535</v>
      </c>
      <c r="B420" s="6" t="s">
        <v>1536</v>
      </c>
      <c r="C420" s="6" t="s">
        <v>1282</v>
      </c>
      <c r="F420" s="7" t="s">
        <v>1537</v>
      </c>
      <c r="G420" s="8">
        <v>419</v>
      </c>
      <c r="H420" s="9" t="s">
        <v>21</v>
      </c>
      <c r="I420" s="9">
        <f t="shared" si="25"/>
        <v>77</v>
      </c>
      <c r="J420" s="9">
        <f t="shared" si="24"/>
        <v>1</v>
      </c>
      <c r="K420" s="10" t="str">
        <f t="shared" si="26"/>
        <v>S1R77B1</v>
      </c>
      <c r="L420" s="10" t="s">
        <v>22</v>
      </c>
      <c r="M420" s="10">
        <f>IF(Table1[[#This Row],[ID ROW]]&lt;=12,Table1[[#This Row],[ID ROW]],Table1[[#This Row],[ID ROW]]+INT((Table1[[#This Row],[ID ROW]]-1)/12)*2)</f>
        <v>89</v>
      </c>
      <c r="N420" s="10" t="str">
        <f t="shared" si="27"/>
        <v>RSR89B1</v>
      </c>
      <c r="O420" s="10">
        <f>IF(Table1[[#This Row],[ID ROW]]&lt;=12,1,INT((Table1[[#This Row],[ID ROW]]-1)/12)+1)</f>
        <v>7</v>
      </c>
      <c r="P420" s="10">
        <f>Table1[[#This Row],[ID ROW]]-((Table1[[#This Row],[SECT]]-1)*12)</f>
        <v>5</v>
      </c>
    </row>
    <row r="421" spans="1:16" ht="15.75" customHeight="1" x14ac:dyDescent="0.3">
      <c r="A421" s="6" t="s">
        <v>1538</v>
      </c>
      <c r="B421" s="6" t="s">
        <v>731</v>
      </c>
      <c r="C421" s="6" t="s">
        <v>1539</v>
      </c>
      <c r="D421" s="6" t="s">
        <v>1540</v>
      </c>
      <c r="F421" s="13" t="s">
        <v>1537</v>
      </c>
      <c r="G421" s="8">
        <v>420</v>
      </c>
      <c r="H421" s="9" t="s">
        <v>21</v>
      </c>
      <c r="I421" s="9">
        <f t="shared" si="25"/>
        <v>77</v>
      </c>
      <c r="J421" s="9">
        <f t="shared" si="24"/>
        <v>2</v>
      </c>
      <c r="K421" s="10" t="str">
        <f t="shared" si="26"/>
        <v>S1R77B2</v>
      </c>
      <c r="L421" s="10" t="s">
        <v>22</v>
      </c>
      <c r="M421" s="10">
        <f>IF(Table1[[#This Row],[ID ROW]]&lt;=12,Table1[[#This Row],[ID ROW]],Table1[[#This Row],[ID ROW]]+INT((Table1[[#This Row],[ID ROW]]-1)/12)*2)</f>
        <v>89</v>
      </c>
      <c r="N421" s="10" t="str">
        <f t="shared" si="27"/>
        <v>RSR89B2</v>
      </c>
      <c r="O421" s="10">
        <f>IF(Table1[[#This Row],[ID ROW]]&lt;=12,1,INT((Table1[[#This Row],[ID ROW]]-1)/12)+1)</f>
        <v>7</v>
      </c>
      <c r="P421" s="10">
        <f>Table1[[#This Row],[ID ROW]]-((Table1[[#This Row],[SECT]]-1)*12)</f>
        <v>5</v>
      </c>
    </row>
    <row r="422" spans="1:16" ht="15.75" customHeight="1" x14ac:dyDescent="0.25">
      <c r="A422" s="6" t="s">
        <v>1541</v>
      </c>
      <c r="B422" s="6" t="s">
        <v>1542</v>
      </c>
      <c r="C422" s="6" t="s">
        <v>1543</v>
      </c>
      <c r="D422" s="6" t="s">
        <v>1394</v>
      </c>
      <c r="F422" s="7" t="s">
        <v>1530</v>
      </c>
      <c r="G422" s="8">
        <v>421</v>
      </c>
      <c r="H422" s="9" t="s">
        <v>21</v>
      </c>
      <c r="I422" s="9">
        <f t="shared" si="25"/>
        <v>77</v>
      </c>
      <c r="J422" s="9">
        <f t="shared" si="24"/>
        <v>3</v>
      </c>
      <c r="K422" s="10" t="str">
        <f t="shared" si="26"/>
        <v>S1R77B3</v>
      </c>
      <c r="L422" s="10" t="s">
        <v>22</v>
      </c>
      <c r="M422" s="10">
        <f>IF(Table1[[#This Row],[ID ROW]]&lt;=12,Table1[[#This Row],[ID ROW]],Table1[[#This Row],[ID ROW]]+INT((Table1[[#This Row],[ID ROW]]-1)/12)*2)</f>
        <v>89</v>
      </c>
      <c r="N422" s="10" t="str">
        <f t="shared" si="27"/>
        <v>RSR89B3</v>
      </c>
      <c r="O422" s="10">
        <f>IF(Table1[[#This Row],[ID ROW]]&lt;=12,1,INT((Table1[[#This Row],[ID ROW]]-1)/12)+1)</f>
        <v>7</v>
      </c>
      <c r="P422" s="10">
        <f>Table1[[#This Row],[ID ROW]]-((Table1[[#This Row],[SECT]]-1)*12)</f>
        <v>5</v>
      </c>
    </row>
    <row r="423" spans="1:16" ht="15.75" customHeight="1" x14ac:dyDescent="0.3">
      <c r="A423" s="6" t="s">
        <v>1544</v>
      </c>
      <c r="B423" s="6" t="s">
        <v>1545</v>
      </c>
      <c r="C423" s="6" t="s">
        <v>1546</v>
      </c>
      <c r="F423" s="13" t="s">
        <v>1547</v>
      </c>
      <c r="G423" s="8">
        <v>422</v>
      </c>
      <c r="H423" s="9" t="s">
        <v>21</v>
      </c>
      <c r="I423" s="9">
        <f t="shared" si="25"/>
        <v>77</v>
      </c>
      <c r="J423" s="9">
        <f t="shared" si="24"/>
        <v>4</v>
      </c>
      <c r="K423" s="10" t="str">
        <f t="shared" si="26"/>
        <v>S1R77B4</v>
      </c>
      <c r="L423" s="10" t="s">
        <v>22</v>
      </c>
      <c r="M423" s="10">
        <f>IF(Table1[[#This Row],[ID ROW]]&lt;=12,Table1[[#This Row],[ID ROW]],Table1[[#This Row],[ID ROW]]+INT((Table1[[#This Row],[ID ROW]]-1)/12)*2)</f>
        <v>89</v>
      </c>
      <c r="N423" s="10" t="str">
        <f t="shared" si="27"/>
        <v>RSR89B4</v>
      </c>
      <c r="O423" s="10">
        <f>IF(Table1[[#This Row],[ID ROW]]&lt;=12,1,INT((Table1[[#This Row],[ID ROW]]-1)/12)+1)</f>
        <v>7</v>
      </c>
      <c r="P423" s="10">
        <f>Table1[[#This Row],[ID ROW]]-((Table1[[#This Row],[SECT]]-1)*12)</f>
        <v>5</v>
      </c>
    </row>
    <row r="424" spans="1:16" ht="15.75" customHeight="1" x14ac:dyDescent="0.25">
      <c r="A424" s="6" t="s">
        <v>1548</v>
      </c>
      <c r="B424" s="6" t="s">
        <v>1549</v>
      </c>
      <c r="C424" s="6" t="s">
        <v>1550</v>
      </c>
      <c r="F424" s="7" t="s">
        <v>1551</v>
      </c>
      <c r="G424" s="8">
        <v>423</v>
      </c>
      <c r="H424" s="9" t="s">
        <v>21</v>
      </c>
      <c r="I424" s="9">
        <f t="shared" si="25"/>
        <v>77</v>
      </c>
      <c r="J424" s="9">
        <f t="shared" si="24"/>
        <v>5</v>
      </c>
      <c r="K424" s="10" t="str">
        <f t="shared" si="26"/>
        <v>S1R77B5</v>
      </c>
      <c r="L424" s="10" t="s">
        <v>22</v>
      </c>
      <c r="M424" s="10">
        <f>IF(Table1[[#This Row],[ID ROW]]&lt;=12,Table1[[#This Row],[ID ROW]],Table1[[#This Row],[ID ROW]]+INT((Table1[[#This Row],[ID ROW]]-1)/12)*2)</f>
        <v>89</v>
      </c>
      <c r="N424" s="10" t="str">
        <f t="shared" si="27"/>
        <v>RSR89B5</v>
      </c>
      <c r="O424" s="10">
        <f>IF(Table1[[#This Row],[ID ROW]]&lt;=12,1,INT((Table1[[#This Row],[ID ROW]]-1)/12)+1)</f>
        <v>7</v>
      </c>
      <c r="P424" s="10">
        <f>Table1[[#This Row],[ID ROW]]-((Table1[[#This Row],[SECT]]-1)*12)</f>
        <v>5</v>
      </c>
    </row>
    <row r="425" spans="1:16" ht="15.75" customHeight="1" x14ac:dyDescent="0.3">
      <c r="A425" s="6" t="s">
        <v>1552</v>
      </c>
      <c r="B425" s="6" t="s">
        <v>1553</v>
      </c>
      <c r="C425" s="6" t="s">
        <v>1554</v>
      </c>
      <c r="F425" s="13" t="s">
        <v>1537</v>
      </c>
      <c r="G425" s="8">
        <v>424</v>
      </c>
      <c r="H425" s="9" t="s">
        <v>21</v>
      </c>
      <c r="I425" s="9">
        <f t="shared" si="25"/>
        <v>77</v>
      </c>
      <c r="J425" s="9">
        <f t="shared" si="24"/>
        <v>6</v>
      </c>
      <c r="K425" s="10" t="str">
        <f t="shared" si="26"/>
        <v>S1R77B6</v>
      </c>
      <c r="L425" s="10" t="s">
        <v>22</v>
      </c>
      <c r="M425" s="10">
        <f>IF(Table1[[#This Row],[ID ROW]]&lt;=12,Table1[[#This Row],[ID ROW]],Table1[[#This Row],[ID ROW]]+INT((Table1[[#This Row],[ID ROW]]-1)/12)*2)</f>
        <v>89</v>
      </c>
      <c r="N425" s="10" t="str">
        <f t="shared" si="27"/>
        <v>RSR89B6</v>
      </c>
      <c r="O425" s="10">
        <f>IF(Table1[[#This Row],[ID ROW]]&lt;=12,1,INT((Table1[[#This Row],[ID ROW]]-1)/12)+1)</f>
        <v>7</v>
      </c>
      <c r="P425" s="10">
        <f>Table1[[#This Row],[ID ROW]]-((Table1[[#This Row],[SECT]]-1)*12)</f>
        <v>5</v>
      </c>
    </row>
    <row r="426" spans="1:16" ht="15.75" customHeight="1" x14ac:dyDescent="0.25">
      <c r="A426" s="6" t="s">
        <v>1555</v>
      </c>
      <c r="B426" s="6" t="s">
        <v>1556</v>
      </c>
      <c r="C426" s="6" t="s">
        <v>1557</v>
      </c>
      <c r="D426" s="6" t="s">
        <v>1558</v>
      </c>
      <c r="F426" s="7" t="s">
        <v>1559</v>
      </c>
      <c r="G426" s="8">
        <v>425</v>
      </c>
      <c r="H426" s="9" t="s">
        <v>21</v>
      </c>
      <c r="I426" s="9">
        <f t="shared" si="25"/>
        <v>78</v>
      </c>
      <c r="J426" s="9">
        <f t="shared" si="24"/>
        <v>1</v>
      </c>
      <c r="K426" s="10" t="str">
        <f t="shared" si="26"/>
        <v>S1R78B1</v>
      </c>
      <c r="L426" s="10" t="s">
        <v>22</v>
      </c>
      <c r="M426" s="10">
        <f>IF(Table1[[#This Row],[ID ROW]]&lt;=12,Table1[[#This Row],[ID ROW]],Table1[[#This Row],[ID ROW]]+INT((Table1[[#This Row],[ID ROW]]-1)/12)*2)</f>
        <v>90</v>
      </c>
      <c r="N426" s="10" t="str">
        <f t="shared" si="27"/>
        <v>RSR90B1</v>
      </c>
      <c r="O426" s="10">
        <f>IF(Table1[[#This Row],[ID ROW]]&lt;=12,1,INT((Table1[[#This Row],[ID ROW]]-1)/12)+1)</f>
        <v>7</v>
      </c>
      <c r="P426" s="10">
        <f>Table1[[#This Row],[ID ROW]]-((Table1[[#This Row],[SECT]]-1)*12)</f>
        <v>6</v>
      </c>
    </row>
    <row r="427" spans="1:16" ht="15.75" customHeight="1" x14ac:dyDescent="0.3">
      <c r="A427" s="6" t="s">
        <v>1560</v>
      </c>
      <c r="B427" s="6" t="s">
        <v>1561</v>
      </c>
      <c r="C427" s="6" t="s">
        <v>1562</v>
      </c>
      <c r="D427" s="6" t="s">
        <v>40</v>
      </c>
      <c r="F427" s="13" t="s">
        <v>1563</v>
      </c>
      <c r="G427" s="8">
        <v>426</v>
      </c>
      <c r="H427" s="9" t="s">
        <v>21</v>
      </c>
      <c r="I427" s="9">
        <f t="shared" si="25"/>
        <v>78</v>
      </c>
      <c r="J427" s="9">
        <f t="shared" si="24"/>
        <v>2</v>
      </c>
      <c r="K427" s="10" t="str">
        <f t="shared" si="26"/>
        <v>S1R78B2</v>
      </c>
      <c r="L427" s="10" t="s">
        <v>22</v>
      </c>
      <c r="M427" s="10">
        <f>IF(Table1[[#This Row],[ID ROW]]&lt;=12,Table1[[#This Row],[ID ROW]],Table1[[#This Row],[ID ROW]]+INT((Table1[[#This Row],[ID ROW]]-1)/12)*2)</f>
        <v>90</v>
      </c>
      <c r="N427" s="10" t="str">
        <f t="shared" si="27"/>
        <v>RSR90B2</v>
      </c>
      <c r="O427" s="10">
        <f>IF(Table1[[#This Row],[ID ROW]]&lt;=12,1,INT((Table1[[#This Row],[ID ROW]]-1)/12)+1)</f>
        <v>7</v>
      </c>
      <c r="P427" s="10">
        <f>Table1[[#This Row],[ID ROW]]-((Table1[[#This Row],[SECT]]-1)*12)</f>
        <v>6</v>
      </c>
    </row>
    <row r="428" spans="1:16" ht="15.75" customHeight="1" x14ac:dyDescent="0.25">
      <c r="A428" s="6" t="s">
        <v>1564</v>
      </c>
      <c r="B428" s="6" t="s">
        <v>1565</v>
      </c>
      <c r="C428" s="6" t="s">
        <v>165</v>
      </c>
      <c r="D428" s="6" t="s">
        <v>50</v>
      </c>
      <c r="F428" s="7" t="s">
        <v>1566</v>
      </c>
      <c r="G428" s="8">
        <v>427</v>
      </c>
      <c r="H428" s="9" t="s">
        <v>21</v>
      </c>
      <c r="I428" s="9">
        <f t="shared" si="25"/>
        <v>78</v>
      </c>
      <c r="J428" s="9">
        <f t="shared" si="24"/>
        <v>3</v>
      </c>
      <c r="K428" s="10" t="str">
        <f t="shared" si="26"/>
        <v>S1R78B3</v>
      </c>
      <c r="L428" s="10" t="s">
        <v>22</v>
      </c>
      <c r="M428" s="10">
        <f>IF(Table1[[#This Row],[ID ROW]]&lt;=12,Table1[[#This Row],[ID ROW]],Table1[[#This Row],[ID ROW]]+INT((Table1[[#This Row],[ID ROW]]-1)/12)*2)</f>
        <v>90</v>
      </c>
      <c r="N428" s="10" t="str">
        <f t="shared" si="27"/>
        <v>RSR90B3</v>
      </c>
      <c r="O428" s="10">
        <f>IF(Table1[[#This Row],[ID ROW]]&lt;=12,1,INT((Table1[[#This Row],[ID ROW]]-1)/12)+1)</f>
        <v>7</v>
      </c>
      <c r="P428" s="10">
        <f>Table1[[#This Row],[ID ROW]]-((Table1[[#This Row],[SECT]]-1)*12)</f>
        <v>6</v>
      </c>
    </row>
    <row r="429" spans="1:16" ht="15.75" customHeight="1" x14ac:dyDescent="0.3">
      <c r="A429" s="6" t="s">
        <v>1567</v>
      </c>
      <c r="B429" s="6" t="s">
        <v>1568</v>
      </c>
      <c r="C429" s="6" t="s">
        <v>296</v>
      </c>
      <c r="F429" s="13" t="s">
        <v>1569</v>
      </c>
      <c r="G429" s="8">
        <v>428</v>
      </c>
      <c r="H429" s="9" t="s">
        <v>21</v>
      </c>
      <c r="I429" s="9">
        <f t="shared" si="25"/>
        <v>78</v>
      </c>
      <c r="J429" s="9">
        <f t="shared" si="24"/>
        <v>4</v>
      </c>
      <c r="K429" s="10" t="str">
        <f t="shared" si="26"/>
        <v>S1R78B4</v>
      </c>
      <c r="L429" s="10" t="s">
        <v>22</v>
      </c>
      <c r="M429" s="10">
        <f>IF(Table1[[#This Row],[ID ROW]]&lt;=12,Table1[[#This Row],[ID ROW]],Table1[[#This Row],[ID ROW]]+INT((Table1[[#This Row],[ID ROW]]-1)/12)*2)</f>
        <v>90</v>
      </c>
      <c r="N429" s="10" t="str">
        <f t="shared" si="27"/>
        <v>RSR90B4</v>
      </c>
      <c r="O429" s="10">
        <f>IF(Table1[[#This Row],[ID ROW]]&lt;=12,1,INT((Table1[[#This Row],[ID ROW]]-1)/12)+1)</f>
        <v>7</v>
      </c>
      <c r="P429" s="10">
        <f>Table1[[#This Row],[ID ROW]]-((Table1[[#This Row],[SECT]]-1)*12)</f>
        <v>6</v>
      </c>
    </row>
    <row r="430" spans="1:16" ht="15.75" customHeight="1" x14ac:dyDescent="0.25">
      <c r="A430" s="6" t="s">
        <v>1570</v>
      </c>
      <c r="B430" s="6" t="s">
        <v>1571</v>
      </c>
      <c r="F430" s="7" t="s">
        <v>1572</v>
      </c>
      <c r="G430" s="8">
        <v>429</v>
      </c>
      <c r="H430" s="9" t="s">
        <v>21</v>
      </c>
      <c r="I430" s="9">
        <f t="shared" si="25"/>
        <v>78</v>
      </c>
      <c r="J430" s="9">
        <f t="shared" si="24"/>
        <v>5</v>
      </c>
      <c r="K430" s="10" t="str">
        <f t="shared" si="26"/>
        <v>S1R78B5</v>
      </c>
      <c r="L430" s="10" t="s">
        <v>22</v>
      </c>
      <c r="M430" s="10">
        <f>IF(Table1[[#This Row],[ID ROW]]&lt;=12,Table1[[#This Row],[ID ROW]],Table1[[#This Row],[ID ROW]]+INT((Table1[[#This Row],[ID ROW]]-1)/12)*2)</f>
        <v>90</v>
      </c>
      <c r="N430" s="10" t="str">
        <f t="shared" si="27"/>
        <v>RSR90B5</v>
      </c>
      <c r="O430" s="10">
        <f>IF(Table1[[#This Row],[ID ROW]]&lt;=12,1,INT((Table1[[#This Row],[ID ROW]]-1)/12)+1)</f>
        <v>7</v>
      </c>
      <c r="P430" s="10">
        <f>Table1[[#This Row],[ID ROW]]-((Table1[[#This Row],[SECT]]-1)*12)</f>
        <v>6</v>
      </c>
    </row>
    <row r="431" spans="1:16" ht="15.75" customHeight="1" x14ac:dyDescent="0.3">
      <c r="A431" s="6" t="s">
        <v>1573</v>
      </c>
      <c r="B431" s="6" t="s">
        <v>731</v>
      </c>
      <c r="C431" s="6" t="s">
        <v>52</v>
      </c>
      <c r="D431" s="6" t="s">
        <v>1574</v>
      </c>
      <c r="F431" s="13" t="s">
        <v>1575</v>
      </c>
      <c r="G431" s="8">
        <v>430</v>
      </c>
      <c r="H431" s="9" t="s">
        <v>21</v>
      </c>
      <c r="I431" s="9">
        <f t="shared" si="25"/>
        <v>79</v>
      </c>
      <c r="J431" s="9">
        <f t="shared" si="24"/>
        <v>1</v>
      </c>
      <c r="K431" s="10" t="str">
        <f t="shared" si="26"/>
        <v>S1R79B1</v>
      </c>
      <c r="L431" s="10" t="s">
        <v>22</v>
      </c>
      <c r="M431" s="10">
        <f>IF(Table1[[#This Row],[ID ROW]]&lt;=12,Table1[[#This Row],[ID ROW]],Table1[[#This Row],[ID ROW]]+INT((Table1[[#This Row],[ID ROW]]-1)/12)*2)</f>
        <v>91</v>
      </c>
      <c r="N431" s="10" t="str">
        <f t="shared" si="27"/>
        <v>RSR91B1</v>
      </c>
      <c r="O431" s="10">
        <f>IF(Table1[[#This Row],[ID ROW]]&lt;=12,1,INT((Table1[[#This Row],[ID ROW]]-1)/12)+1)</f>
        <v>7</v>
      </c>
      <c r="P431" s="10">
        <f>Table1[[#This Row],[ID ROW]]-((Table1[[#This Row],[SECT]]-1)*12)</f>
        <v>7</v>
      </c>
    </row>
    <row r="432" spans="1:16" ht="15.75" customHeight="1" x14ac:dyDescent="0.25">
      <c r="A432" s="6" t="s">
        <v>1576</v>
      </c>
      <c r="B432" s="6" t="s">
        <v>517</v>
      </c>
      <c r="C432" s="6" t="s">
        <v>1577</v>
      </c>
      <c r="D432" s="6" t="s">
        <v>1578</v>
      </c>
      <c r="F432" s="7" t="s">
        <v>1579</v>
      </c>
      <c r="G432" s="8">
        <v>431</v>
      </c>
      <c r="H432" s="9" t="s">
        <v>21</v>
      </c>
      <c r="I432" s="9">
        <f t="shared" si="25"/>
        <v>79</v>
      </c>
      <c r="J432" s="9">
        <f t="shared" si="24"/>
        <v>2</v>
      </c>
      <c r="K432" s="10" t="str">
        <f t="shared" si="26"/>
        <v>S1R79B2</v>
      </c>
      <c r="L432" s="10" t="s">
        <v>22</v>
      </c>
      <c r="M432" s="10">
        <f>IF(Table1[[#This Row],[ID ROW]]&lt;=12,Table1[[#This Row],[ID ROW]],Table1[[#This Row],[ID ROW]]+INT((Table1[[#This Row],[ID ROW]]-1)/12)*2)</f>
        <v>91</v>
      </c>
      <c r="N432" s="10" t="str">
        <f t="shared" si="27"/>
        <v>RSR91B2</v>
      </c>
      <c r="O432" s="10">
        <f>IF(Table1[[#This Row],[ID ROW]]&lt;=12,1,INT((Table1[[#This Row],[ID ROW]]-1)/12)+1)</f>
        <v>7</v>
      </c>
      <c r="P432" s="10">
        <f>Table1[[#This Row],[ID ROW]]-((Table1[[#This Row],[SECT]]-1)*12)</f>
        <v>7</v>
      </c>
    </row>
    <row r="433" spans="1:16" ht="15.75" customHeight="1" x14ac:dyDescent="0.3">
      <c r="A433" s="6" t="s">
        <v>1580</v>
      </c>
      <c r="B433" s="6" t="s">
        <v>1581</v>
      </c>
      <c r="C433" s="6" t="s">
        <v>1379</v>
      </c>
      <c r="F433" s="13" t="s">
        <v>1582</v>
      </c>
      <c r="G433" s="8">
        <v>432</v>
      </c>
      <c r="H433" s="9" t="s">
        <v>21</v>
      </c>
      <c r="I433" s="9">
        <f t="shared" si="25"/>
        <v>79</v>
      </c>
      <c r="J433" s="9">
        <f t="shared" si="24"/>
        <v>3</v>
      </c>
      <c r="K433" s="10" t="str">
        <f t="shared" si="26"/>
        <v>S1R79B3</v>
      </c>
      <c r="L433" s="10" t="s">
        <v>22</v>
      </c>
      <c r="M433" s="10">
        <f>IF(Table1[[#This Row],[ID ROW]]&lt;=12,Table1[[#This Row],[ID ROW]],Table1[[#This Row],[ID ROW]]+INT((Table1[[#This Row],[ID ROW]]-1)/12)*2)</f>
        <v>91</v>
      </c>
      <c r="N433" s="10" t="str">
        <f t="shared" si="27"/>
        <v>RSR91B3</v>
      </c>
      <c r="O433" s="10">
        <f>IF(Table1[[#This Row],[ID ROW]]&lt;=12,1,INT((Table1[[#This Row],[ID ROW]]-1)/12)+1)</f>
        <v>7</v>
      </c>
      <c r="P433" s="10">
        <f>Table1[[#This Row],[ID ROW]]-((Table1[[#This Row],[SECT]]-1)*12)</f>
        <v>7</v>
      </c>
    </row>
    <row r="434" spans="1:16" ht="15.75" customHeight="1" x14ac:dyDescent="0.25">
      <c r="A434" s="6" t="s">
        <v>1583</v>
      </c>
      <c r="B434" s="6" t="s">
        <v>1584</v>
      </c>
      <c r="C434" s="6" t="s">
        <v>1585</v>
      </c>
      <c r="D434" s="6" t="s">
        <v>52</v>
      </c>
      <c r="F434" s="7" t="s">
        <v>1586</v>
      </c>
      <c r="G434" s="8">
        <v>433</v>
      </c>
      <c r="H434" s="9" t="s">
        <v>21</v>
      </c>
      <c r="I434" s="9">
        <f t="shared" si="25"/>
        <v>79</v>
      </c>
      <c r="J434" s="9">
        <f t="shared" si="24"/>
        <v>4</v>
      </c>
      <c r="K434" s="10" t="str">
        <f t="shared" si="26"/>
        <v>S1R79B4</v>
      </c>
      <c r="L434" s="10" t="s">
        <v>22</v>
      </c>
      <c r="M434" s="10">
        <f>IF(Table1[[#This Row],[ID ROW]]&lt;=12,Table1[[#This Row],[ID ROW]],Table1[[#This Row],[ID ROW]]+INT((Table1[[#This Row],[ID ROW]]-1)/12)*2)</f>
        <v>91</v>
      </c>
      <c r="N434" s="10" t="str">
        <f t="shared" si="27"/>
        <v>RSR91B4</v>
      </c>
      <c r="O434" s="10">
        <f>IF(Table1[[#This Row],[ID ROW]]&lt;=12,1,INT((Table1[[#This Row],[ID ROW]]-1)/12)+1)</f>
        <v>7</v>
      </c>
      <c r="P434" s="10">
        <f>Table1[[#This Row],[ID ROW]]-((Table1[[#This Row],[SECT]]-1)*12)</f>
        <v>7</v>
      </c>
    </row>
    <row r="435" spans="1:16" ht="15.75" customHeight="1" x14ac:dyDescent="0.3">
      <c r="A435" s="6" t="s">
        <v>1587</v>
      </c>
      <c r="B435" s="6" t="s">
        <v>1588</v>
      </c>
      <c r="C435" s="6" t="s">
        <v>1589</v>
      </c>
      <c r="D435" s="6" t="s">
        <v>1590</v>
      </c>
      <c r="F435" s="13" t="s">
        <v>1591</v>
      </c>
      <c r="G435" s="8">
        <v>434</v>
      </c>
      <c r="H435" s="9" t="s">
        <v>21</v>
      </c>
      <c r="I435" s="9">
        <f t="shared" si="25"/>
        <v>79</v>
      </c>
      <c r="J435" s="9">
        <f t="shared" si="24"/>
        <v>5</v>
      </c>
      <c r="K435" s="10" t="str">
        <f t="shared" si="26"/>
        <v>S1R79B5</v>
      </c>
      <c r="L435" s="10" t="s">
        <v>22</v>
      </c>
      <c r="M435" s="10">
        <f>IF(Table1[[#This Row],[ID ROW]]&lt;=12,Table1[[#This Row],[ID ROW]],Table1[[#This Row],[ID ROW]]+INT((Table1[[#This Row],[ID ROW]]-1)/12)*2)</f>
        <v>91</v>
      </c>
      <c r="N435" s="10" t="str">
        <f t="shared" si="27"/>
        <v>RSR91B5</v>
      </c>
      <c r="O435" s="10">
        <f>IF(Table1[[#This Row],[ID ROW]]&lt;=12,1,INT((Table1[[#This Row],[ID ROW]]-1)/12)+1)</f>
        <v>7</v>
      </c>
      <c r="P435" s="10">
        <f>Table1[[#This Row],[ID ROW]]-((Table1[[#This Row],[SECT]]-1)*12)</f>
        <v>7</v>
      </c>
    </row>
    <row r="436" spans="1:16" ht="15.75" customHeight="1" x14ac:dyDescent="0.25">
      <c r="A436" s="6" t="s">
        <v>1592</v>
      </c>
      <c r="B436" s="6" t="s">
        <v>1593</v>
      </c>
      <c r="C436" s="6" t="s">
        <v>1594</v>
      </c>
      <c r="F436" s="7" t="s">
        <v>1595</v>
      </c>
      <c r="G436" s="8">
        <v>435</v>
      </c>
      <c r="H436" s="9" t="s">
        <v>21</v>
      </c>
      <c r="I436" s="9">
        <f t="shared" si="25"/>
        <v>79</v>
      </c>
      <c r="J436" s="9">
        <f t="shared" si="24"/>
        <v>6</v>
      </c>
      <c r="K436" s="10" t="str">
        <f t="shared" si="26"/>
        <v>S1R79B6</v>
      </c>
      <c r="L436" s="10" t="s">
        <v>22</v>
      </c>
      <c r="M436" s="10">
        <f>IF(Table1[[#This Row],[ID ROW]]&lt;=12,Table1[[#This Row],[ID ROW]],Table1[[#This Row],[ID ROW]]+INT((Table1[[#This Row],[ID ROW]]-1)/12)*2)</f>
        <v>91</v>
      </c>
      <c r="N436" s="10" t="str">
        <f t="shared" si="27"/>
        <v>RSR91B6</v>
      </c>
      <c r="O436" s="10">
        <f>IF(Table1[[#This Row],[ID ROW]]&lt;=12,1,INT((Table1[[#This Row],[ID ROW]]-1)/12)+1)</f>
        <v>7</v>
      </c>
      <c r="P436" s="10">
        <f>Table1[[#This Row],[ID ROW]]-((Table1[[#This Row],[SECT]]-1)*12)</f>
        <v>7</v>
      </c>
    </row>
    <row r="437" spans="1:16" ht="15.75" customHeight="1" x14ac:dyDescent="0.3">
      <c r="A437" s="6" t="s">
        <v>1596</v>
      </c>
      <c r="B437" s="6" t="s">
        <v>1597</v>
      </c>
      <c r="C437" s="6" t="s">
        <v>1598</v>
      </c>
      <c r="D437" s="6" t="s">
        <v>1599</v>
      </c>
      <c r="F437" s="13" t="s">
        <v>1600</v>
      </c>
      <c r="G437" s="8">
        <v>436</v>
      </c>
      <c r="H437" s="9" t="s">
        <v>21</v>
      </c>
      <c r="I437" s="9">
        <f t="shared" si="25"/>
        <v>80</v>
      </c>
      <c r="J437" s="9">
        <f t="shared" si="24"/>
        <v>1</v>
      </c>
      <c r="K437" s="10" t="str">
        <f t="shared" si="26"/>
        <v>S1R80B1</v>
      </c>
      <c r="L437" s="10" t="s">
        <v>22</v>
      </c>
      <c r="M437" s="10">
        <f>IF(Table1[[#This Row],[ID ROW]]&lt;=12,Table1[[#This Row],[ID ROW]],Table1[[#This Row],[ID ROW]]+INT((Table1[[#This Row],[ID ROW]]-1)/12)*2)</f>
        <v>92</v>
      </c>
      <c r="N437" s="10" t="str">
        <f t="shared" si="27"/>
        <v>RSR92B1</v>
      </c>
      <c r="O437" s="10">
        <f>IF(Table1[[#This Row],[ID ROW]]&lt;=12,1,INT((Table1[[#This Row],[ID ROW]]-1)/12)+1)</f>
        <v>7</v>
      </c>
      <c r="P437" s="10">
        <f>Table1[[#This Row],[ID ROW]]-((Table1[[#This Row],[SECT]]-1)*12)</f>
        <v>8</v>
      </c>
    </row>
    <row r="438" spans="1:16" ht="15.75" customHeight="1" x14ac:dyDescent="0.25">
      <c r="A438" s="6" t="s">
        <v>1601</v>
      </c>
      <c r="B438" s="6" t="s">
        <v>1602</v>
      </c>
      <c r="C438" s="6" t="s">
        <v>1603</v>
      </c>
      <c r="D438" s="6" t="s">
        <v>1604</v>
      </c>
      <c r="F438" s="7" t="s">
        <v>1605</v>
      </c>
      <c r="G438" s="8">
        <v>437</v>
      </c>
      <c r="H438" s="9" t="s">
        <v>21</v>
      </c>
      <c r="I438" s="9">
        <f t="shared" si="25"/>
        <v>80</v>
      </c>
      <c r="J438" s="9">
        <f t="shared" si="24"/>
        <v>2</v>
      </c>
      <c r="K438" s="10" t="str">
        <f t="shared" si="26"/>
        <v>S1R80B2</v>
      </c>
      <c r="L438" s="10" t="s">
        <v>22</v>
      </c>
      <c r="M438" s="10">
        <f>IF(Table1[[#This Row],[ID ROW]]&lt;=12,Table1[[#This Row],[ID ROW]],Table1[[#This Row],[ID ROW]]+INT((Table1[[#This Row],[ID ROW]]-1)/12)*2)</f>
        <v>92</v>
      </c>
      <c r="N438" s="10" t="str">
        <f t="shared" si="27"/>
        <v>RSR92B2</v>
      </c>
      <c r="O438" s="10">
        <f>IF(Table1[[#This Row],[ID ROW]]&lt;=12,1,INT((Table1[[#This Row],[ID ROW]]-1)/12)+1)</f>
        <v>7</v>
      </c>
      <c r="P438" s="10">
        <f>Table1[[#This Row],[ID ROW]]-((Table1[[#This Row],[SECT]]-1)*12)</f>
        <v>8</v>
      </c>
    </row>
    <row r="439" spans="1:16" ht="15.75" customHeight="1" x14ac:dyDescent="0.3">
      <c r="A439" s="6" t="s">
        <v>1606</v>
      </c>
      <c r="B439" s="6" t="s">
        <v>1607</v>
      </c>
      <c r="C439" s="6" t="s">
        <v>1608</v>
      </c>
      <c r="D439" s="6" t="s">
        <v>1216</v>
      </c>
      <c r="F439" s="13" t="s">
        <v>1609</v>
      </c>
      <c r="G439" s="8">
        <v>438</v>
      </c>
      <c r="H439" s="9" t="s">
        <v>21</v>
      </c>
      <c r="I439" s="9">
        <f t="shared" si="25"/>
        <v>80</v>
      </c>
      <c r="J439" s="9">
        <f t="shared" si="24"/>
        <v>3</v>
      </c>
      <c r="K439" s="10" t="str">
        <f t="shared" si="26"/>
        <v>S1R80B3</v>
      </c>
      <c r="L439" s="10" t="s">
        <v>22</v>
      </c>
      <c r="M439" s="10">
        <f>IF(Table1[[#This Row],[ID ROW]]&lt;=12,Table1[[#This Row],[ID ROW]],Table1[[#This Row],[ID ROW]]+INT((Table1[[#This Row],[ID ROW]]-1)/12)*2)</f>
        <v>92</v>
      </c>
      <c r="N439" s="10" t="str">
        <f t="shared" si="27"/>
        <v>RSR92B3</v>
      </c>
      <c r="O439" s="10">
        <f>IF(Table1[[#This Row],[ID ROW]]&lt;=12,1,INT((Table1[[#This Row],[ID ROW]]-1)/12)+1)</f>
        <v>7</v>
      </c>
      <c r="P439" s="10">
        <f>Table1[[#This Row],[ID ROW]]-((Table1[[#This Row],[SECT]]-1)*12)</f>
        <v>8</v>
      </c>
    </row>
    <row r="440" spans="1:16" ht="15.75" customHeight="1" x14ac:dyDescent="0.25">
      <c r="A440" s="6" t="s">
        <v>1610</v>
      </c>
      <c r="B440" s="6" t="s">
        <v>1611</v>
      </c>
      <c r="C440" s="6" t="s">
        <v>52</v>
      </c>
      <c r="D440" s="6" t="s">
        <v>1612</v>
      </c>
      <c r="F440" s="7" t="s">
        <v>1613</v>
      </c>
      <c r="G440" s="8">
        <v>439</v>
      </c>
      <c r="H440" s="9" t="s">
        <v>21</v>
      </c>
      <c r="I440" s="9">
        <f t="shared" si="25"/>
        <v>80</v>
      </c>
      <c r="J440" s="9">
        <f t="shared" si="24"/>
        <v>4</v>
      </c>
      <c r="K440" s="10" t="str">
        <f t="shared" si="26"/>
        <v>S1R80B4</v>
      </c>
      <c r="L440" s="10" t="s">
        <v>22</v>
      </c>
      <c r="M440" s="10">
        <f>IF(Table1[[#This Row],[ID ROW]]&lt;=12,Table1[[#This Row],[ID ROW]],Table1[[#This Row],[ID ROW]]+INT((Table1[[#This Row],[ID ROW]]-1)/12)*2)</f>
        <v>92</v>
      </c>
      <c r="N440" s="10" t="str">
        <f t="shared" si="27"/>
        <v>RSR92B4</v>
      </c>
      <c r="O440" s="10">
        <f>IF(Table1[[#This Row],[ID ROW]]&lt;=12,1,INT((Table1[[#This Row],[ID ROW]]-1)/12)+1)</f>
        <v>7</v>
      </c>
      <c r="P440" s="10">
        <f>Table1[[#This Row],[ID ROW]]-((Table1[[#This Row],[SECT]]-1)*12)</f>
        <v>8</v>
      </c>
    </row>
    <row r="441" spans="1:16" ht="15.75" customHeight="1" x14ac:dyDescent="0.3">
      <c r="A441" s="6" t="s">
        <v>1614</v>
      </c>
      <c r="B441" s="6" t="s">
        <v>1615</v>
      </c>
      <c r="C441" s="6" t="s">
        <v>1616</v>
      </c>
      <c r="D441" s="6" t="s">
        <v>1617</v>
      </c>
      <c r="F441" s="13" t="s">
        <v>1586</v>
      </c>
      <c r="G441" s="8">
        <v>440</v>
      </c>
      <c r="H441" s="9" t="s">
        <v>21</v>
      </c>
      <c r="I441" s="9">
        <f t="shared" si="25"/>
        <v>80</v>
      </c>
      <c r="J441" s="9">
        <f t="shared" si="24"/>
        <v>5</v>
      </c>
      <c r="K441" s="10" t="str">
        <f t="shared" si="26"/>
        <v>S1R80B5</v>
      </c>
      <c r="L441" s="10" t="s">
        <v>22</v>
      </c>
      <c r="M441" s="10">
        <f>IF(Table1[[#This Row],[ID ROW]]&lt;=12,Table1[[#This Row],[ID ROW]],Table1[[#This Row],[ID ROW]]+INT((Table1[[#This Row],[ID ROW]]-1)/12)*2)</f>
        <v>92</v>
      </c>
      <c r="N441" s="10" t="str">
        <f t="shared" si="27"/>
        <v>RSR92B5</v>
      </c>
      <c r="O441" s="10">
        <f>IF(Table1[[#This Row],[ID ROW]]&lt;=12,1,INT((Table1[[#This Row],[ID ROW]]-1)/12)+1)</f>
        <v>7</v>
      </c>
      <c r="P441" s="10">
        <f>Table1[[#This Row],[ID ROW]]-((Table1[[#This Row],[SECT]]-1)*12)</f>
        <v>8</v>
      </c>
    </row>
    <row r="442" spans="1:16" ht="15.75" customHeight="1" x14ac:dyDescent="0.25">
      <c r="A442" s="6" t="s">
        <v>1618</v>
      </c>
      <c r="B442" s="6" t="s">
        <v>1619</v>
      </c>
      <c r="F442" s="7" t="s">
        <v>1620</v>
      </c>
      <c r="G442" s="8">
        <v>441</v>
      </c>
      <c r="H442" s="9" t="s">
        <v>21</v>
      </c>
      <c r="I442" s="9">
        <f t="shared" si="25"/>
        <v>81</v>
      </c>
      <c r="J442" s="9">
        <f t="shared" si="24"/>
        <v>1</v>
      </c>
      <c r="K442" s="10" t="str">
        <f t="shared" si="26"/>
        <v>S1R81B1</v>
      </c>
      <c r="L442" s="10" t="s">
        <v>22</v>
      </c>
      <c r="M442" s="10">
        <f>IF(Table1[[#This Row],[ID ROW]]&lt;=12,Table1[[#This Row],[ID ROW]],Table1[[#This Row],[ID ROW]]+INT((Table1[[#This Row],[ID ROW]]-1)/12)*2)</f>
        <v>93</v>
      </c>
      <c r="N442" s="10" t="str">
        <f t="shared" si="27"/>
        <v>RSR93B1</v>
      </c>
      <c r="O442" s="10">
        <f>IF(Table1[[#This Row],[ID ROW]]&lt;=12,1,INT((Table1[[#This Row],[ID ROW]]-1)/12)+1)</f>
        <v>7</v>
      </c>
      <c r="P442" s="10">
        <f>Table1[[#This Row],[ID ROW]]-((Table1[[#This Row],[SECT]]-1)*12)</f>
        <v>9</v>
      </c>
    </row>
    <row r="443" spans="1:16" ht="15.75" customHeight="1" x14ac:dyDescent="0.3">
      <c r="A443" s="6" t="s">
        <v>1621</v>
      </c>
      <c r="B443" s="6" t="s">
        <v>1622</v>
      </c>
      <c r="C443" s="6" t="s">
        <v>1623</v>
      </c>
      <c r="D443" s="6" t="s">
        <v>1624</v>
      </c>
      <c r="F443" s="13" t="s">
        <v>1625</v>
      </c>
      <c r="G443" s="8">
        <v>442</v>
      </c>
      <c r="H443" s="9" t="s">
        <v>21</v>
      </c>
      <c r="I443" s="9">
        <f t="shared" si="25"/>
        <v>81</v>
      </c>
      <c r="J443" s="9">
        <f t="shared" si="24"/>
        <v>2</v>
      </c>
      <c r="K443" s="10" t="str">
        <f t="shared" si="26"/>
        <v>S1R81B2</v>
      </c>
      <c r="L443" s="10" t="s">
        <v>22</v>
      </c>
      <c r="M443" s="10">
        <f>IF(Table1[[#This Row],[ID ROW]]&lt;=12,Table1[[#This Row],[ID ROW]],Table1[[#This Row],[ID ROW]]+INT((Table1[[#This Row],[ID ROW]]-1)/12)*2)</f>
        <v>93</v>
      </c>
      <c r="N443" s="10" t="str">
        <f t="shared" si="27"/>
        <v>RSR93B2</v>
      </c>
      <c r="O443" s="10">
        <f>IF(Table1[[#This Row],[ID ROW]]&lt;=12,1,INT((Table1[[#This Row],[ID ROW]]-1)/12)+1)</f>
        <v>7</v>
      </c>
      <c r="P443" s="10">
        <f>Table1[[#This Row],[ID ROW]]-((Table1[[#This Row],[SECT]]-1)*12)</f>
        <v>9</v>
      </c>
    </row>
    <row r="444" spans="1:16" ht="15.75" customHeight="1" x14ac:dyDescent="0.25">
      <c r="A444" s="6" t="s">
        <v>1626</v>
      </c>
      <c r="B444" s="6" t="s">
        <v>1627</v>
      </c>
      <c r="C444" s="6" t="s">
        <v>1628</v>
      </c>
      <c r="D444" s="6" t="s">
        <v>1629</v>
      </c>
      <c r="F444" s="7" t="s">
        <v>1625</v>
      </c>
      <c r="G444" s="8">
        <v>443</v>
      </c>
      <c r="H444" s="9" t="s">
        <v>21</v>
      </c>
      <c r="I444" s="9">
        <f t="shared" si="25"/>
        <v>81</v>
      </c>
      <c r="J444" s="9">
        <f t="shared" si="24"/>
        <v>3</v>
      </c>
      <c r="K444" s="10" t="str">
        <f t="shared" si="26"/>
        <v>S1R81B3</v>
      </c>
      <c r="L444" s="10" t="s">
        <v>22</v>
      </c>
      <c r="M444" s="10">
        <f>IF(Table1[[#This Row],[ID ROW]]&lt;=12,Table1[[#This Row],[ID ROW]],Table1[[#This Row],[ID ROW]]+INT((Table1[[#This Row],[ID ROW]]-1)/12)*2)</f>
        <v>93</v>
      </c>
      <c r="N444" s="10" t="str">
        <f t="shared" si="27"/>
        <v>RSR93B3</v>
      </c>
      <c r="O444" s="10">
        <f>IF(Table1[[#This Row],[ID ROW]]&lt;=12,1,INT((Table1[[#This Row],[ID ROW]]-1)/12)+1)</f>
        <v>7</v>
      </c>
      <c r="P444" s="10">
        <f>Table1[[#This Row],[ID ROW]]-((Table1[[#This Row],[SECT]]-1)*12)</f>
        <v>9</v>
      </c>
    </row>
    <row r="445" spans="1:16" ht="15.75" customHeight="1" x14ac:dyDescent="0.3">
      <c r="A445" s="6" t="s">
        <v>1630</v>
      </c>
      <c r="B445" s="6" t="s">
        <v>1631</v>
      </c>
      <c r="C445" s="6" t="s">
        <v>165</v>
      </c>
      <c r="D445" s="6" t="s">
        <v>1632</v>
      </c>
      <c r="F445" s="13" t="s">
        <v>1633</v>
      </c>
      <c r="G445" s="8">
        <v>444</v>
      </c>
      <c r="H445" s="9" t="s">
        <v>21</v>
      </c>
      <c r="I445" s="9">
        <f t="shared" si="25"/>
        <v>81</v>
      </c>
      <c r="J445" s="9">
        <f t="shared" si="24"/>
        <v>4</v>
      </c>
      <c r="K445" s="10" t="str">
        <f t="shared" si="26"/>
        <v>S1R81B4</v>
      </c>
      <c r="L445" s="10" t="s">
        <v>22</v>
      </c>
      <c r="M445" s="10">
        <f>IF(Table1[[#This Row],[ID ROW]]&lt;=12,Table1[[#This Row],[ID ROW]],Table1[[#This Row],[ID ROW]]+INT((Table1[[#This Row],[ID ROW]]-1)/12)*2)</f>
        <v>93</v>
      </c>
      <c r="N445" s="10" t="str">
        <f t="shared" si="27"/>
        <v>RSR93B4</v>
      </c>
      <c r="O445" s="10">
        <f>IF(Table1[[#This Row],[ID ROW]]&lt;=12,1,INT((Table1[[#This Row],[ID ROW]]-1)/12)+1)</f>
        <v>7</v>
      </c>
      <c r="P445" s="10">
        <f>Table1[[#This Row],[ID ROW]]-((Table1[[#This Row],[SECT]]-1)*12)</f>
        <v>9</v>
      </c>
    </row>
    <row r="446" spans="1:16" ht="15.75" customHeight="1" x14ac:dyDescent="0.25">
      <c r="A446" s="6" t="s">
        <v>1634</v>
      </c>
      <c r="B446" s="6" t="s">
        <v>1635</v>
      </c>
      <c r="C446" s="6" t="s">
        <v>1636</v>
      </c>
      <c r="D446" s="6" t="s">
        <v>1637</v>
      </c>
      <c r="F446" s="7" t="s">
        <v>1638</v>
      </c>
      <c r="G446" s="8">
        <v>445</v>
      </c>
      <c r="H446" s="9" t="s">
        <v>21</v>
      </c>
      <c r="I446" s="9">
        <f t="shared" si="25"/>
        <v>81</v>
      </c>
      <c r="J446" s="9">
        <f t="shared" si="24"/>
        <v>5</v>
      </c>
      <c r="K446" s="10" t="str">
        <f t="shared" si="26"/>
        <v>S1R81B5</v>
      </c>
      <c r="L446" s="10" t="s">
        <v>22</v>
      </c>
      <c r="M446" s="10">
        <f>IF(Table1[[#This Row],[ID ROW]]&lt;=12,Table1[[#This Row],[ID ROW]],Table1[[#This Row],[ID ROW]]+INT((Table1[[#This Row],[ID ROW]]-1)/12)*2)</f>
        <v>93</v>
      </c>
      <c r="N446" s="10" t="str">
        <f t="shared" si="27"/>
        <v>RSR93B5</v>
      </c>
      <c r="O446" s="10">
        <f>IF(Table1[[#This Row],[ID ROW]]&lt;=12,1,INT((Table1[[#This Row],[ID ROW]]-1)/12)+1)</f>
        <v>7</v>
      </c>
      <c r="P446" s="10">
        <f>Table1[[#This Row],[ID ROW]]-((Table1[[#This Row],[SECT]]-1)*12)</f>
        <v>9</v>
      </c>
    </row>
    <row r="447" spans="1:16" ht="15.75" customHeight="1" x14ac:dyDescent="0.3">
      <c r="A447" s="6" t="s">
        <v>1639</v>
      </c>
      <c r="B447" s="6" t="s">
        <v>1640</v>
      </c>
      <c r="C447" s="6" t="s">
        <v>1641</v>
      </c>
      <c r="D447" s="6" t="s">
        <v>1642</v>
      </c>
      <c r="F447" s="13" t="s">
        <v>1643</v>
      </c>
      <c r="G447" s="8">
        <v>446</v>
      </c>
      <c r="H447" s="9" t="s">
        <v>21</v>
      </c>
      <c r="I447" s="9">
        <f t="shared" si="25"/>
        <v>81</v>
      </c>
      <c r="J447" s="9">
        <f t="shared" si="24"/>
        <v>6</v>
      </c>
      <c r="K447" s="10" t="str">
        <f t="shared" si="26"/>
        <v>S1R81B6</v>
      </c>
      <c r="L447" s="10" t="s">
        <v>22</v>
      </c>
      <c r="M447" s="10">
        <f>IF(Table1[[#This Row],[ID ROW]]&lt;=12,Table1[[#This Row],[ID ROW]],Table1[[#This Row],[ID ROW]]+INT((Table1[[#This Row],[ID ROW]]-1)/12)*2)</f>
        <v>93</v>
      </c>
      <c r="N447" s="10" t="str">
        <f t="shared" si="27"/>
        <v>RSR93B6</v>
      </c>
      <c r="O447" s="10">
        <f>IF(Table1[[#This Row],[ID ROW]]&lt;=12,1,INT((Table1[[#This Row],[ID ROW]]-1)/12)+1)</f>
        <v>7</v>
      </c>
      <c r="P447" s="10">
        <f>Table1[[#This Row],[ID ROW]]-((Table1[[#This Row],[SECT]]-1)*12)</f>
        <v>9</v>
      </c>
    </row>
    <row r="448" spans="1:16" ht="15.75" customHeight="1" x14ac:dyDescent="0.25">
      <c r="A448" s="6" t="s">
        <v>1644</v>
      </c>
      <c r="B448" s="6" t="s">
        <v>1177</v>
      </c>
      <c r="C448" s="6" t="s">
        <v>67</v>
      </c>
      <c r="F448" s="7" t="s">
        <v>1645</v>
      </c>
      <c r="G448" s="8">
        <v>447</v>
      </c>
      <c r="H448" s="9" t="s">
        <v>21</v>
      </c>
      <c r="I448" s="9">
        <f t="shared" si="25"/>
        <v>82</v>
      </c>
      <c r="J448" s="9">
        <f t="shared" si="24"/>
        <v>1</v>
      </c>
      <c r="K448" s="10" t="str">
        <f t="shared" si="26"/>
        <v>S1R82B1</v>
      </c>
      <c r="L448" s="10" t="s">
        <v>22</v>
      </c>
      <c r="M448" s="10">
        <f>IF(Table1[[#This Row],[ID ROW]]&lt;=12,Table1[[#This Row],[ID ROW]],Table1[[#This Row],[ID ROW]]+INT((Table1[[#This Row],[ID ROW]]-1)/12)*2)</f>
        <v>94</v>
      </c>
      <c r="N448" s="10" t="str">
        <f t="shared" si="27"/>
        <v>RSR94B1</v>
      </c>
      <c r="O448" s="10">
        <f>IF(Table1[[#This Row],[ID ROW]]&lt;=12,1,INT((Table1[[#This Row],[ID ROW]]-1)/12)+1)</f>
        <v>7</v>
      </c>
      <c r="P448" s="10">
        <f>Table1[[#This Row],[ID ROW]]-((Table1[[#This Row],[SECT]]-1)*12)</f>
        <v>10</v>
      </c>
    </row>
    <row r="449" spans="1:16" ht="15.75" customHeight="1" x14ac:dyDescent="0.3">
      <c r="A449" s="6" t="s">
        <v>1646</v>
      </c>
      <c r="B449" s="6" t="s">
        <v>1568</v>
      </c>
      <c r="C449" s="6" t="s">
        <v>1647</v>
      </c>
      <c r="F449" s="13" t="s">
        <v>1645</v>
      </c>
      <c r="G449" s="8">
        <v>448</v>
      </c>
      <c r="H449" s="9" t="s">
        <v>21</v>
      </c>
      <c r="I449" s="9">
        <f t="shared" si="25"/>
        <v>82</v>
      </c>
      <c r="J449" s="9">
        <f t="shared" si="24"/>
        <v>2</v>
      </c>
      <c r="K449" s="10" t="str">
        <f t="shared" si="26"/>
        <v>S1R82B2</v>
      </c>
      <c r="L449" s="10" t="s">
        <v>22</v>
      </c>
      <c r="M449" s="10">
        <f>IF(Table1[[#This Row],[ID ROW]]&lt;=12,Table1[[#This Row],[ID ROW]],Table1[[#This Row],[ID ROW]]+INT((Table1[[#This Row],[ID ROW]]-1)/12)*2)</f>
        <v>94</v>
      </c>
      <c r="N449" s="10" t="str">
        <f t="shared" si="27"/>
        <v>RSR94B2</v>
      </c>
      <c r="O449" s="10">
        <f>IF(Table1[[#This Row],[ID ROW]]&lt;=12,1,INT((Table1[[#This Row],[ID ROW]]-1)/12)+1)</f>
        <v>7</v>
      </c>
      <c r="P449" s="10">
        <f>Table1[[#This Row],[ID ROW]]-((Table1[[#This Row],[SECT]]-1)*12)</f>
        <v>10</v>
      </c>
    </row>
    <row r="450" spans="1:16" ht="15.75" customHeight="1" x14ac:dyDescent="0.25">
      <c r="A450" s="6" t="s">
        <v>1648</v>
      </c>
      <c r="B450" s="6" t="s">
        <v>1649</v>
      </c>
      <c r="C450" s="6" t="s">
        <v>1650</v>
      </c>
      <c r="D450" s="6" t="s">
        <v>1651</v>
      </c>
      <c r="F450" s="7" t="s">
        <v>1652</v>
      </c>
      <c r="G450" s="8">
        <v>449</v>
      </c>
      <c r="H450" s="9" t="s">
        <v>21</v>
      </c>
      <c r="I450" s="9">
        <f t="shared" si="25"/>
        <v>82</v>
      </c>
      <c r="J450" s="9">
        <f t="shared" ref="J450:J523" si="28">IF(MOD(G450-1,11)&lt;6,(MOD(G450-1,11)+1-(5*FLOOR(MOD(G450-1,11),6))),(MOD(G450-1,11))-5)</f>
        <v>3</v>
      </c>
      <c r="K450" s="10" t="str">
        <f t="shared" si="26"/>
        <v>S1R82B3</v>
      </c>
      <c r="L450" s="10" t="s">
        <v>22</v>
      </c>
      <c r="M450" s="10">
        <f>IF(Table1[[#This Row],[ID ROW]]&lt;=12,Table1[[#This Row],[ID ROW]],Table1[[#This Row],[ID ROW]]+INT((Table1[[#This Row],[ID ROW]]-1)/12)*2)</f>
        <v>94</v>
      </c>
      <c r="N450" s="10" t="str">
        <f t="shared" si="27"/>
        <v>RSR94B3</v>
      </c>
      <c r="O450" s="10">
        <f>IF(Table1[[#This Row],[ID ROW]]&lt;=12,1,INT((Table1[[#This Row],[ID ROW]]-1)/12)+1)</f>
        <v>7</v>
      </c>
      <c r="P450" s="10">
        <f>Table1[[#This Row],[ID ROW]]-((Table1[[#This Row],[SECT]]-1)*12)</f>
        <v>10</v>
      </c>
    </row>
    <row r="451" spans="1:16" ht="15.75" customHeight="1" x14ac:dyDescent="0.3">
      <c r="A451" s="6" t="s">
        <v>1653</v>
      </c>
      <c r="B451" s="6" t="s">
        <v>1654</v>
      </c>
      <c r="C451" s="6" t="s">
        <v>67</v>
      </c>
      <c r="F451" s="13" t="s">
        <v>1655</v>
      </c>
      <c r="G451" s="8">
        <v>450</v>
      </c>
      <c r="H451" s="9" t="s">
        <v>21</v>
      </c>
      <c r="I451" s="9">
        <f t="shared" ref="I451:I523" si="29">INT((G451-1)/11)*2 + IF(MOD(G451-1, 11) &lt; 6, 1, 2)</f>
        <v>82</v>
      </c>
      <c r="J451" s="9">
        <f t="shared" si="28"/>
        <v>4</v>
      </c>
      <c r="K451" s="10" t="str">
        <f t="shared" ref="K451:K486" si="30">H451&amp;"R"&amp;I451&amp;"B"&amp;J451</f>
        <v>S1R82B4</v>
      </c>
      <c r="L451" s="10" t="s">
        <v>22</v>
      </c>
      <c r="M451" s="10">
        <f>IF(Table1[[#This Row],[ID ROW]]&lt;=12,Table1[[#This Row],[ID ROW]],Table1[[#This Row],[ID ROW]]+INT((Table1[[#This Row],[ID ROW]]-1)/12)*2)</f>
        <v>94</v>
      </c>
      <c r="N451" s="10" t="str">
        <f t="shared" ref="N451:N523" si="31">L451&amp;"R"&amp;M451&amp;"B"&amp;J451</f>
        <v>RSR94B4</v>
      </c>
      <c r="O451" s="10">
        <f>IF(Table1[[#This Row],[ID ROW]]&lt;=12,1,INT((Table1[[#This Row],[ID ROW]]-1)/12)+1)</f>
        <v>7</v>
      </c>
      <c r="P451" s="10">
        <f>Table1[[#This Row],[ID ROW]]-((Table1[[#This Row],[SECT]]-1)*12)</f>
        <v>10</v>
      </c>
    </row>
    <row r="452" spans="1:16" ht="15.75" customHeight="1" x14ac:dyDescent="0.25">
      <c r="A452" s="6" t="s">
        <v>1656</v>
      </c>
      <c r="B452" s="6" t="s">
        <v>1657</v>
      </c>
      <c r="C452" s="6" t="s">
        <v>1658</v>
      </c>
      <c r="D452" s="6" t="s">
        <v>1659</v>
      </c>
      <c r="F452" s="7" t="s">
        <v>1655</v>
      </c>
      <c r="G452" s="8">
        <v>451</v>
      </c>
      <c r="H452" s="9" t="s">
        <v>21</v>
      </c>
      <c r="I452" s="9">
        <f t="shared" si="29"/>
        <v>82</v>
      </c>
      <c r="J452" s="9">
        <f t="shared" si="28"/>
        <v>5</v>
      </c>
      <c r="K452" s="10" t="str">
        <f t="shared" si="30"/>
        <v>S1R82B5</v>
      </c>
      <c r="L452" s="10" t="s">
        <v>22</v>
      </c>
      <c r="M452" s="10">
        <f>IF(Table1[[#This Row],[ID ROW]]&lt;=12,Table1[[#This Row],[ID ROW]],Table1[[#This Row],[ID ROW]]+INT((Table1[[#This Row],[ID ROW]]-1)/12)*2)</f>
        <v>94</v>
      </c>
      <c r="N452" s="10" t="str">
        <f t="shared" si="31"/>
        <v>RSR94B5</v>
      </c>
      <c r="O452" s="10">
        <f>IF(Table1[[#This Row],[ID ROW]]&lt;=12,1,INT((Table1[[#This Row],[ID ROW]]-1)/12)+1)</f>
        <v>7</v>
      </c>
      <c r="P452" s="10">
        <f>Table1[[#This Row],[ID ROW]]-((Table1[[#This Row],[SECT]]-1)*12)</f>
        <v>10</v>
      </c>
    </row>
    <row r="453" spans="1:16" ht="15.75" customHeight="1" x14ac:dyDescent="0.3">
      <c r="A453" s="6" t="s">
        <v>1660</v>
      </c>
      <c r="B453" s="6" t="s">
        <v>1661</v>
      </c>
      <c r="C453" s="6" t="s">
        <v>1236</v>
      </c>
      <c r="F453" s="13" t="s">
        <v>1655</v>
      </c>
      <c r="G453" s="8">
        <v>452</v>
      </c>
      <c r="H453" s="9" t="s">
        <v>21</v>
      </c>
      <c r="I453" s="9">
        <f t="shared" si="29"/>
        <v>83</v>
      </c>
      <c r="J453" s="9">
        <f t="shared" si="28"/>
        <v>1</v>
      </c>
      <c r="K453" s="10" t="str">
        <f t="shared" si="30"/>
        <v>S1R83B1</v>
      </c>
      <c r="L453" s="10" t="s">
        <v>22</v>
      </c>
      <c r="M453" s="10">
        <f>IF(Table1[[#This Row],[ID ROW]]&lt;=12,Table1[[#This Row],[ID ROW]],Table1[[#This Row],[ID ROW]]+INT((Table1[[#This Row],[ID ROW]]-1)/12)*2)</f>
        <v>95</v>
      </c>
      <c r="N453" s="10" t="str">
        <f t="shared" si="31"/>
        <v>RSR95B1</v>
      </c>
      <c r="O453" s="10">
        <f>IF(Table1[[#This Row],[ID ROW]]&lt;=12,1,INT((Table1[[#This Row],[ID ROW]]-1)/12)+1)</f>
        <v>7</v>
      </c>
      <c r="P453" s="10">
        <f>Table1[[#This Row],[ID ROW]]-((Table1[[#This Row],[SECT]]-1)*12)</f>
        <v>11</v>
      </c>
    </row>
    <row r="454" spans="1:16" ht="15.75" customHeight="1" x14ac:dyDescent="0.25">
      <c r="A454" s="6" t="s">
        <v>1662</v>
      </c>
      <c r="B454" s="6" t="s">
        <v>1663</v>
      </c>
      <c r="C454" s="6" t="s">
        <v>1664</v>
      </c>
      <c r="D454" s="6" t="s">
        <v>1665</v>
      </c>
      <c r="F454" s="7" t="s">
        <v>1645</v>
      </c>
      <c r="G454" s="8">
        <v>453</v>
      </c>
      <c r="H454" s="9" t="s">
        <v>21</v>
      </c>
      <c r="I454" s="9">
        <f t="shared" si="29"/>
        <v>83</v>
      </c>
      <c r="J454" s="9">
        <f t="shared" si="28"/>
        <v>2</v>
      </c>
      <c r="K454" s="10" t="str">
        <f t="shared" si="30"/>
        <v>S1R83B2</v>
      </c>
      <c r="L454" s="10" t="s">
        <v>22</v>
      </c>
      <c r="M454" s="10">
        <f>IF(Table1[[#This Row],[ID ROW]]&lt;=12,Table1[[#This Row],[ID ROW]],Table1[[#This Row],[ID ROW]]+INT((Table1[[#This Row],[ID ROW]]-1)/12)*2)</f>
        <v>95</v>
      </c>
      <c r="N454" s="10" t="str">
        <f t="shared" si="31"/>
        <v>RSR95B2</v>
      </c>
      <c r="O454" s="10">
        <f>IF(Table1[[#This Row],[ID ROW]]&lt;=12,1,INT((Table1[[#This Row],[ID ROW]]-1)/12)+1)</f>
        <v>7</v>
      </c>
      <c r="P454" s="10">
        <f>Table1[[#This Row],[ID ROW]]-((Table1[[#This Row],[SECT]]-1)*12)</f>
        <v>11</v>
      </c>
    </row>
    <row r="455" spans="1:16" ht="15.75" customHeight="1" x14ac:dyDescent="0.3">
      <c r="A455" s="6" t="s">
        <v>165</v>
      </c>
      <c r="B455" s="6" t="s">
        <v>1666</v>
      </c>
      <c r="C455" s="6" t="s">
        <v>1667</v>
      </c>
      <c r="D455" s="6" t="s">
        <v>1668</v>
      </c>
      <c r="F455" s="13" t="s">
        <v>1669</v>
      </c>
      <c r="G455" s="8">
        <v>454</v>
      </c>
      <c r="H455" s="9" t="s">
        <v>21</v>
      </c>
      <c r="I455" s="9">
        <f t="shared" si="29"/>
        <v>83</v>
      </c>
      <c r="J455" s="9">
        <f t="shared" si="28"/>
        <v>3</v>
      </c>
      <c r="K455" s="10" t="str">
        <f t="shared" si="30"/>
        <v>S1R83B3</v>
      </c>
      <c r="L455" s="10" t="s">
        <v>22</v>
      </c>
      <c r="M455" s="10">
        <f>IF(Table1[[#This Row],[ID ROW]]&lt;=12,Table1[[#This Row],[ID ROW]],Table1[[#This Row],[ID ROW]]+INT((Table1[[#This Row],[ID ROW]]-1)/12)*2)</f>
        <v>95</v>
      </c>
      <c r="N455" s="10" t="str">
        <f t="shared" si="31"/>
        <v>RSR95B3</v>
      </c>
      <c r="O455" s="10">
        <f>IF(Table1[[#This Row],[ID ROW]]&lt;=12,1,INT((Table1[[#This Row],[ID ROW]]-1)/12)+1)</f>
        <v>7</v>
      </c>
      <c r="P455" s="10">
        <f>Table1[[#This Row],[ID ROW]]-((Table1[[#This Row],[SECT]]-1)*12)</f>
        <v>11</v>
      </c>
    </row>
    <row r="456" spans="1:16" ht="15.75" customHeight="1" x14ac:dyDescent="0.25">
      <c r="A456" s="6" t="s">
        <v>1670</v>
      </c>
      <c r="B456" s="6" t="s">
        <v>1225</v>
      </c>
      <c r="C456" s="6" t="s">
        <v>364</v>
      </c>
      <c r="D456" s="6" t="s">
        <v>1216</v>
      </c>
      <c r="F456" s="7" t="s">
        <v>1671</v>
      </c>
      <c r="G456" s="8">
        <v>455</v>
      </c>
      <c r="H456" s="9" t="s">
        <v>21</v>
      </c>
      <c r="I456" s="9">
        <f t="shared" si="29"/>
        <v>83</v>
      </c>
      <c r="J456" s="9">
        <f t="shared" si="28"/>
        <v>4</v>
      </c>
      <c r="K456" s="10" t="str">
        <f t="shared" si="30"/>
        <v>S1R83B4</v>
      </c>
      <c r="L456" s="10" t="s">
        <v>22</v>
      </c>
      <c r="M456" s="10">
        <f>IF(Table1[[#This Row],[ID ROW]]&lt;=12,Table1[[#This Row],[ID ROW]],Table1[[#This Row],[ID ROW]]+INT((Table1[[#This Row],[ID ROW]]-1)/12)*2)</f>
        <v>95</v>
      </c>
      <c r="N456" s="10" t="str">
        <f t="shared" si="31"/>
        <v>RSR95B4</v>
      </c>
      <c r="O456" s="10">
        <f>IF(Table1[[#This Row],[ID ROW]]&lt;=12,1,INT((Table1[[#This Row],[ID ROW]]-1)/12)+1)</f>
        <v>7</v>
      </c>
      <c r="P456" s="10">
        <f>Table1[[#This Row],[ID ROW]]-((Table1[[#This Row],[SECT]]-1)*12)</f>
        <v>11</v>
      </c>
    </row>
    <row r="457" spans="1:16" ht="15.75" customHeight="1" x14ac:dyDescent="0.3">
      <c r="A457" s="6" t="s">
        <v>1672</v>
      </c>
      <c r="B457" s="6" t="s">
        <v>1235</v>
      </c>
      <c r="C457" s="6" t="s">
        <v>1673</v>
      </c>
      <c r="D457" s="6" t="s">
        <v>1674</v>
      </c>
      <c r="F457" s="13" t="s">
        <v>1675</v>
      </c>
      <c r="G457" s="8">
        <v>456</v>
      </c>
      <c r="H457" s="9" t="s">
        <v>21</v>
      </c>
      <c r="I457" s="9">
        <f t="shared" si="29"/>
        <v>83</v>
      </c>
      <c r="J457" s="9">
        <f t="shared" si="28"/>
        <v>5</v>
      </c>
      <c r="K457" s="10" t="str">
        <f t="shared" si="30"/>
        <v>S1R83B5</v>
      </c>
      <c r="L457" s="10" t="s">
        <v>22</v>
      </c>
      <c r="M457" s="10">
        <f>IF(Table1[[#This Row],[ID ROW]]&lt;=12,Table1[[#This Row],[ID ROW]],Table1[[#This Row],[ID ROW]]+INT((Table1[[#This Row],[ID ROW]]-1)/12)*2)</f>
        <v>95</v>
      </c>
      <c r="N457" s="10" t="str">
        <f t="shared" si="31"/>
        <v>RSR95B5</v>
      </c>
      <c r="O457" s="10">
        <f>IF(Table1[[#This Row],[ID ROW]]&lt;=12,1,INT((Table1[[#This Row],[ID ROW]]-1)/12)+1)</f>
        <v>7</v>
      </c>
      <c r="P457" s="10">
        <f>Table1[[#This Row],[ID ROW]]-((Table1[[#This Row],[SECT]]-1)*12)</f>
        <v>11</v>
      </c>
    </row>
    <row r="458" spans="1:16" ht="15.75" customHeight="1" x14ac:dyDescent="0.25">
      <c r="A458" s="6" t="s">
        <v>1676</v>
      </c>
      <c r="B458" s="6" t="s">
        <v>1677</v>
      </c>
      <c r="C458" s="6" t="s">
        <v>1678</v>
      </c>
      <c r="D458" s="6" t="s">
        <v>1679</v>
      </c>
      <c r="F458" s="7" t="s">
        <v>1609</v>
      </c>
      <c r="G458" s="8">
        <v>457</v>
      </c>
      <c r="H458" s="9" t="s">
        <v>21</v>
      </c>
      <c r="I458" s="9">
        <f t="shared" si="29"/>
        <v>83</v>
      </c>
      <c r="J458" s="9">
        <f t="shared" si="28"/>
        <v>6</v>
      </c>
      <c r="K458" s="10" t="str">
        <f t="shared" si="30"/>
        <v>S1R83B6</v>
      </c>
      <c r="L458" s="10" t="s">
        <v>22</v>
      </c>
      <c r="M458" s="10">
        <f>IF(Table1[[#This Row],[ID ROW]]&lt;=12,Table1[[#This Row],[ID ROW]],Table1[[#This Row],[ID ROW]]+INT((Table1[[#This Row],[ID ROW]]-1)/12)*2)</f>
        <v>95</v>
      </c>
      <c r="N458" s="10" t="str">
        <f t="shared" si="31"/>
        <v>RSR95B6</v>
      </c>
      <c r="O458" s="10">
        <f>IF(Table1[[#This Row],[ID ROW]]&lt;=12,1,INT((Table1[[#This Row],[ID ROW]]-1)/12)+1)</f>
        <v>7</v>
      </c>
      <c r="P458" s="10">
        <f>Table1[[#This Row],[ID ROW]]-((Table1[[#This Row],[SECT]]-1)*12)</f>
        <v>11</v>
      </c>
    </row>
    <row r="459" spans="1:16" ht="15.75" customHeight="1" x14ac:dyDescent="0.3">
      <c r="A459" s="6" t="s">
        <v>1680</v>
      </c>
      <c r="B459" s="6" t="s">
        <v>1568</v>
      </c>
      <c r="C459" s="6" t="s">
        <v>1681</v>
      </c>
      <c r="D459" s="6" t="s">
        <v>1325</v>
      </c>
      <c r="F459" s="13" t="s">
        <v>1682</v>
      </c>
      <c r="G459" s="8">
        <v>458</v>
      </c>
      <c r="H459" s="9" t="s">
        <v>21</v>
      </c>
      <c r="I459" s="9">
        <f t="shared" si="29"/>
        <v>84</v>
      </c>
      <c r="J459" s="9">
        <f t="shared" si="28"/>
        <v>1</v>
      </c>
      <c r="K459" s="10" t="str">
        <f t="shared" si="30"/>
        <v>S1R84B1</v>
      </c>
      <c r="L459" s="10" t="s">
        <v>22</v>
      </c>
      <c r="M459" s="10">
        <f>IF(Table1[[#This Row],[ID ROW]]&lt;=12,Table1[[#This Row],[ID ROW]],Table1[[#This Row],[ID ROW]]+INT((Table1[[#This Row],[ID ROW]]-1)/12)*2)</f>
        <v>96</v>
      </c>
      <c r="N459" s="10" t="str">
        <f t="shared" si="31"/>
        <v>RSR96B1</v>
      </c>
      <c r="O459" s="10">
        <f>IF(Table1[[#This Row],[ID ROW]]&lt;=12,1,INT((Table1[[#This Row],[ID ROW]]-1)/12)+1)</f>
        <v>7</v>
      </c>
      <c r="P459" s="10">
        <f>Table1[[#This Row],[ID ROW]]-((Table1[[#This Row],[SECT]]-1)*12)</f>
        <v>12</v>
      </c>
    </row>
    <row r="460" spans="1:16" ht="15.75" customHeight="1" x14ac:dyDescent="0.25">
      <c r="A460" s="6" t="s">
        <v>234</v>
      </c>
      <c r="B460" s="6" t="s">
        <v>555</v>
      </c>
      <c r="C460" s="6" t="s">
        <v>1683</v>
      </c>
      <c r="D460" s="6" t="s">
        <v>1684</v>
      </c>
      <c r="F460" s="7" t="s">
        <v>1682</v>
      </c>
      <c r="G460" s="8">
        <v>459</v>
      </c>
      <c r="H460" s="9" t="s">
        <v>21</v>
      </c>
      <c r="I460" s="9">
        <f t="shared" si="29"/>
        <v>84</v>
      </c>
      <c r="J460" s="9">
        <f t="shared" si="28"/>
        <v>2</v>
      </c>
      <c r="K460" s="10" t="str">
        <f t="shared" si="30"/>
        <v>S1R84B2</v>
      </c>
      <c r="L460" s="10" t="s">
        <v>22</v>
      </c>
      <c r="M460" s="10">
        <f>IF(Table1[[#This Row],[ID ROW]]&lt;=12,Table1[[#This Row],[ID ROW]],Table1[[#This Row],[ID ROW]]+INT((Table1[[#This Row],[ID ROW]]-1)/12)*2)</f>
        <v>96</v>
      </c>
      <c r="N460" s="10" t="str">
        <f t="shared" si="31"/>
        <v>RSR96B2</v>
      </c>
      <c r="O460" s="10">
        <f>IF(Table1[[#This Row],[ID ROW]]&lt;=12,1,INT((Table1[[#This Row],[ID ROW]]-1)/12)+1)</f>
        <v>7</v>
      </c>
      <c r="P460" s="10">
        <f>Table1[[#This Row],[ID ROW]]-((Table1[[#This Row],[SECT]]-1)*12)</f>
        <v>12</v>
      </c>
    </row>
    <row r="461" spans="1:16" ht="15.75" customHeight="1" x14ac:dyDescent="0.3">
      <c r="A461" s="6" t="s">
        <v>1685</v>
      </c>
      <c r="B461" s="6" t="s">
        <v>1686</v>
      </c>
      <c r="C461" s="6" t="s">
        <v>1687</v>
      </c>
      <c r="D461" s="6" t="s">
        <v>1688</v>
      </c>
      <c r="F461" s="13" t="s">
        <v>1689</v>
      </c>
      <c r="G461" s="8">
        <v>460</v>
      </c>
      <c r="H461" s="9" t="s">
        <v>21</v>
      </c>
      <c r="I461" s="9">
        <f t="shared" si="29"/>
        <v>84</v>
      </c>
      <c r="J461" s="9">
        <f t="shared" si="28"/>
        <v>3</v>
      </c>
      <c r="K461" s="10" t="str">
        <f t="shared" si="30"/>
        <v>S1R84B3</v>
      </c>
      <c r="L461" s="10" t="s">
        <v>22</v>
      </c>
      <c r="M461" s="10">
        <f>IF(Table1[[#This Row],[ID ROW]]&lt;=12,Table1[[#This Row],[ID ROW]],Table1[[#This Row],[ID ROW]]+INT((Table1[[#This Row],[ID ROW]]-1)/12)*2)</f>
        <v>96</v>
      </c>
      <c r="N461" s="10" t="str">
        <f t="shared" si="31"/>
        <v>RSR96B3</v>
      </c>
      <c r="O461" s="10">
        <f>IF(Table1[[#This Row],[ID ROW]]&lt;=12,1,INT((Table1[[#This Row],[ID ROW]]-1)/12)+1)</f>
        <v>7</v>
      </c>
      <c r="P461" s="10">
        <f>Table1[[#This Row],[ID ROW]]-((Table1[[#This Row],[SECT]]-1)*12)</f>
        <v>12</v>
      </c>
    </row>
    <row r="462" spans="1:16" ht="15.75" customHeight="1" x14ac:dyDescent="0.25">
      <c r="A462" s="6" t="s">
        <v>1690</v>
      </c>
      <c r="B462" s="6" t="s">
        <v>1691</v>
      </c>
      <c r="C462" s="6" t="s">
        <v>1692</v>
      </c>
      <c r="D462" s="6" t="s">
        <v>477</v>
      </c>
      <c r="F462" s="7" t="s">
        <v>1689</v>
      </c>
      <c r="G462" s="8">
        <v>461</v>
      </c>
      <c r="H462" s="9" t="s">
        <v>21</v>
      </c>
      <c r="I462" s="9">
        <f t="shared" si="29"/>
        <v>84</v>
      </c>
      <c r="J462" s="9">
        <f t="shared" si="28"/>
        <v>4</v>
      </c>
      <c r="K462" s="10" t="str">
        <f t="shared" si="30"/>
        <v>S1R84B4</v>
      </c>
      <c r="L462" s="10" t="s">
        <v>22</v>
      </c>
      <c r="M462" s="10">
        <f>IF(Table1[[#This Row],[ID ROW]]&lt;=12,Table1[[#This Row],[ID ROW]],Table1[[#This Row],[ID ROW]]+INT((Table1[[#This Row],[ID ROW]]-1)/12)*2)</f>
        <v>96</v>
      </c>
      <c r="N462" s="10" t="str">
        <f t="shared" si="31"/>
        <v>RSR96B4</v>
      </c>
      <c r="O462" s="10">
        <f>IF(Table1[[#This Row],[ID ROW]]&lt;=12,1,INT((Table1[[#This Row],[ID ROW]]-1)/12)+1)</f>
        <v>7</v>
      </c>
      <c r="P462" s="10">
        <f>Table1[[#This Row],[ID ROW]]-((Table1[[#This Row],[SECT]]-1)*12)</f>
        <v>12</v>
      </c>
    </row>
    <row r="463" spans="1:16" ht="15.75" customHeight="1" x14ac:dyDescent="0.3">
      <c r="A463" s="6" t="s">
        <v>1693</v>
      </c>
      <c r="B463" s="6" t="s">
        <v>1694</v>
      </c>
      <c r="C463" s="6" t="s">
        <v>1695</v>
      </c>
      <c r="D463" s="6" t="s">
        <v>1696</v>
      </c>
      <c r="F463" s="13" t="s">
        <v>1689</v>
      </c>
      <c r="G463" s="8">
        <v>462</v>
      </c>
      <c r="H463" s="9" t="s">
        <v>21</v>
      </c>
      <c r="I463" s="9">
        <f t="shared" si="29"/>
        <v>84</v>
      </c>
      <c r="J463" s="9">
        <f t="shared" si="28"/>
        <v>5</v>
      </c>
      <c r="K463" s="10" t="str">
        <f t="shared" si="30"/>
        <v>S1R84B5</v>
      </c>
      <c r="L463" s="10" t="s">
        <v>22</v>
      </c>
      <c r="M463" s="10">
        <f>IF(Table1[[#This Row],[ID ROW]]&lt;=12,Table1[[#This Row],[ID ROW]],Table1[[#This Row],[ID ROW]]+INT((Table1[[#This Row],[ID ROW]]-1)/12)*2)</f>
        <v>96</v>
      </c>
      <c r="N463" s="10" t="str">
        <f t="shared" si="31"/>
        <v>RSR96B5</v>
      </c>
      <c r="O463" s="10">
        <f>IF(Table1[[#This Row],[ID ROW]]&lt;=12,1,INT((Table1[[#This Row],[ID ROW]]-1)/12)+1)</f>
        <v>7</v>
      </c>
      <c r="P463" s="10">
        <f>Table1[[#This Row],[ID ROW]]-((Table1[[#This Row],[SECT]]-1)*12)</f>
        <v>12</v>
      </c>
    </row>
    <row r="464" spans="1:16" ht="15.75" customHeight="1" x14ac:dyDescent="0.25">
      <c r="A464" s="6" t="s">
        <v>1697</v>
      </c>
      <c r="B464" s="6" t="s">
        <v>1698</v>
      </c>
      <c r="C464" s="6" t="s">
        <v>1678</v>
      </c>
      <c r="D464" s="6" t="s">
        <v>925</v>
      </c>
      <c r="F464" s="7" t="s">
        <v>1699</v>
      </c>
      <c r="G464" s="8">
        <v>463</v>
      </c>
      <c r="H464" s="9" t="s">
        <v>21</v>
      </c>
      <c r="I464" s="9">
        <f t="shared" si="29"/>
        <v>85</v>
      </c>
      <c r="J464" s="9">
        <f t="shared" si="28"/>
        <v>1</v>
      </c>
      <c r="K464" s="10" t="str">
        <f t="shared" si="30"/>
        <v>S1R85B1</v>
      </c>
      <c r="L464" s="10" t="s">
        <v>22</v>
      </c>
      <c r="M464" s="10">
        <f>IF(Table1[[#This Row],[ID ROW]]&lt;=12,Table1[[#This Row],[ID ROW]],Table1[[#This Row],[ID ROW]]+INT((Table1[[#This Row],[ID ROW]]-1)/12)*2)</f>
        <v>99</v>
      </c>
      <c r="N464" s="10" t="str">
        <f t="shared" si="31"/>
        <v>RSR99B1</v>
      </c>
      <c r="O464" s="10">
        <f>IF(Table1[[#This Row],[ID ROW]]&lt;=12,1,INT((Table1[[#This Row],[ID ROW]]-1)/12)+1)</f>
        <v>8</v>
      </c>
      <c r="P464" s="10">
        <f>Table1[[#This Row],[ID ROW]]-((Table1[[#This Row],[SECT]]-1)*12)</f>
        <v>1</v>
      </c>
    </row>
    <row r="465" spans="1:16" ht="15.75" customHeight="1" x14ac:dyDescent="0.3">
      <c r="A465" s="6" t="s">
        <v>1700</v>
      </c>
      <c r="B465" s="6" t="s">
        <v>1701</v>
      </c>
      <c r="C465" s="6" t="s">
        <v>1702</v>
      </c>
      <c r="D465" s="6" t="s">
        <v>1703</v>
      </c>
      <c r="F465" s="13" t="s">
        <v>1704</v>
      </c>
      <c r="G465" s="8">
        <v>464</v>
      </c>
      <c r="H465" s="9" t="s">
        <v>21</v>
      </c>
      <c r="I465" s="9">
        <f t="shared" si="29"/>
        <v>85</v>
      </c>
      <c r="J465" s="9">
        <f t="shared" si="28"/>
        <v>2</v>
      </c>
      <c r="K465" s="10" t="str">
        <f t="shared" si="30"/>
        <v>S1R85B2</v>
      </c>
      <c r="L465" s="10" t="s">
        <v>22</v>
      </c>
      <c r="M465" s="10">
        <f>IF(Table1[[#This Row],[ID ROW]]&lt;=12,Table1[[#This Row],[ID ROW]],Table1[[#This Row],[ID ROW]]+INT((Table1[[#This Row],[ID ROW]]-1)/12)*2)</f>
        <v>99</v>
      </c>
      <c r="N465" s="10" t="str">
        <f t="shared" si="31"/>
        <v>RSR99B2</v>
      </c>
      <c r="O465" s="10">
        <f>IF(Table1[[#This Row],[ID ROW]]&lt;=12,1,INT((Table1[[#This Row],[ID ROW]]-1)/12)+1)</f>
        <v>8</v>
      </c>
      <c r="P465" s="10">
        <f>Table1[[#This Row],[ID ROW]]-((Table1[[#This Row],[SECT]]-1)*12)</f>
        <v>1</v>
      </c>
    </row>
    <row r="466" spans="1:16" ht="15.75" customHeight="1" x14ac:dyDescent="0.25">
      <c r="A466" s="6" t="s">
        <v>1705</v>
      </c>
      <c r="B466" s="6" t="s">
        <v>1706</v>
      </c>
      <c r="C466" s="6" t="s">
        <v>1707</v>
      </c>
      <c r="D466" s="6" t="s">
        <v>1703</v>
      </c>
      <c r="F466" s="7" t="s">
        <v>1704</v>
      </c>
      <c r="G466" s="8">
        <v>465</v>
      </c>
      <c r="H466" s="9" t="s">
        <v>21</v>
      </c>
      <c r="I466" s="9">
        <f t="shared" si="29"/>
        <v>85</v>
      </c>
      <c r="J466" s="9">
        <f t="shared" si="28"/>
        <v>3</v>
      </c>
      <c r="K466" s="10" t="str">
        <f t="shared" si="30"/>
        <v>S1R85B3</v>
      </c>
      <c r="L466" s="10" t="s">
        <v>22</v>
      </c>
      <c r="M466" s="10">
        <f>IF(Table1[[#This Row],[ID ROW]]&lt;=12,Table1[[#This Row],[ID ROW]],Table1[[#This Row],[ID ROW]]+INT((Table1[[#This Row],[ID ROW]]-1)/12)*2)</f>
        <v>99</v>
      </c>
      <c r="N466" s="10" t="str">
        <f t="shared" si="31"/>
        <v>RSR99B3</v>
      </c>
      <c r="O466" s="10">
        <f>IF(Table1[[#This Row],[ID ROW]]&lt;=12,1,INT((Table1[[#This Row],[ID ROW]]-1)/12)+1)</f>
        <v>8</v>
      </c>
      <c r="P466" s="10">
        <f>Table1[[#This Row],[ID ROW]]-((Table1[[#This Row],[SECT]]-1)*12)</f>
        <v>1</v>
      </c>
    </row>
    <row r="467" spans="1:16" ht="15.75" customHeight="1" x14ac:dyDescent="0.3">
      <c r="A467" s="6" t="s">
        <v>1708</v>
      </c>
      <c r="B467" s="6" t="s">
        <v>1177</v>
      </c>
      <c r="C467" s="6" t="s">
        <v>1709</v>
      </c>
      <c r="D467" s="6" t="s">
        <v>1710</v>
      </c>
      <c r="F467" s="13" t="s">
        <v>1711</v>
      </c>
      <c r="G467" s="8">
        <v>466</v>
      </c>
      <c r="H467" s="9" t="s">
        <v>21</v>
      </c>
      <c r="I467" s="9">
        <f t="shared" si="29"/>
        <v>85</v>
      </c>
      <c r="J467" s="9">
        <f t="shared" si="28"/>
        <v>4</v>
      </c>
      <c r="K467" s="10" t="str">
        <f t="shared" si="30"/>
        <v>S1R85B4</v>
      </c>
      <c r="L467" s="10" t="s">
        <v>22</v>
      </c>
      <c r="M467" s="10">
        <f>IF(Table1[[#This Row],[ID ROW]]&lt;=12,Table1[[#This Row],[ID ROW]],Table1[[#This Row],[ID ROW]]+INT((Table1[[#This Row],[ID ROW]]-1)/12)*2)</f>
        <v>99</v>
      </c>
      <c r="N467" s="10" t="str">
        <f t="shared" si="31"/>
        <v>RSR99B4</v>
      </c>
      <c r="O467" s="10">
        <f>IF(Table1[[#This Row],[ID ROW]]&lt;=12,1,INT((Table1[[#This Row],[ID ROW]]-1)/12)+1)</f>
        <v>8</v>
      </c>
      <c r="P467" s="10">
        <f>Table1[[#This Row],[ID ROW]]-((Table1[[#This Row],[SECT]]-1)*12)</f>
        <v>1</v>
      </c>
    </row>
    <row r="468" spans="1:16" ht="15.75" customHeight="1" x14ac:dyDescent="0.25">
      <c r="A468" s="6" t="s">
        <v>1712</v>
      </c>
      <c r="B468" s="6" t="s">
        <v>1713</v>
      </c>
      <c r="C468" s="6" t="s">
        <v>1714</v>
      </c>
      <c r="D468" s="6" t="s">
        <v>1216</v>
      </c>
      <c r="F468" s="7" t="s">
        <v>1609</v>
      </c>
      <c r="G468" s="8">
        <v>467</v>
      </c>
      <c r="H468" s="9" t="s">
        <v>21</v>
      </c>
      <c r="I468" s="9">
        <f t="shared" si="29"/>
        <v>85</v>
      </c>
      <c r="J468" s="9">
        <f t="shared" si="28"/>
        <v>5</v>
      </c>
      <c r="K468" s="10" t="str">
        <f t="shared" si="30"/>
        <v>S1R85B5</v>
      </c>
      <c r="L468" s="10" t="s">
        <v>22</v>
      </c>
      <c r="M468" s="10">
        <f>IF(Table1[[#This Row],[ID ROW]]&lt;=12,Table1[[#This Row],[ID ROW]],Table1[[#This Row],[ID ROW]]+INT((Table1[[#This Row],[ID ROW]]-1)/12)*2)</f>
        <v>99</v>
      </c>
      <c r="N468" s="10" t="str">
        <f t="shared" si="31"/>
        <v>RSR99B5</v>
      </c>
      <c r="O468" s="10">
        <f>IF(Table1[[#This Row],[ID ROW]]&lt;=12,1,INT((Table1[[#This Row],[ID ROW]]-1)/12)+1)</f>
        <v>8</v>
      </c>
      <c r="P468" s="10">
        <f>Table1[[#This Row],[ID ROW]]-((Table1[[#This Row],[SECT]]-1)*12)</f>
        <v>1</v>
      </c>
    </row>
    <row r="469" spans="1:16" ht="15.75" customHeight="1" x14ac:dyDescent="0.3">
      <c r="A469" s="6" t="s">
        <v>1715</v>
      </c>
      <c r="B469" s="6" t="s">
        <v>1713</v>
      </c>
      <c r="C469" s="6" t="s">
        <v>1716</v>
      </c>
      <c r="D469" s="6" t="s">
        <v>925</v>
      </c>
      <c r="F469" s="13" t="s">
        <v>1609</v>
      </c>
      <c r="G469" s="8">
        <v>468</v>
      </c>
      <c r="H469" s="9" t="s">
        <v>21</v>
      </c>
      <c r="I469" s="9">
        <f t="shared" si="29"/>
        <v>85</v>
      </c>
      <c r="J469" s="9">
        <f t="shared" si="28"/>
        <v>6</v>
      </c>
      <c r="K469" s="10" t="str">
        <f t="shared" si="30"/>
        <v>S1R85B6</v>
      </c>
      <c r="L469" s="10" t="s">
        <v>22</v>
      </c>
      <c r="M469" s="10">
        <f>IF(Table1[[#This Row],[ID ROW]]&lt;=12,Table1[[#This Row],[ID ROW]],Table1[[#This Row],[ID ROW]]+INT((Table1[[#This Row],[ID ROW]]-1)/12)*2)</f>
        <v>99</v>
      </c>
      <c r="N469" s="10" t="str">
        <f t="shared" si="31"/>
        <v>RSR99B6</v>
      </c>
      <c r="O469" s="10">
        <f>IF(Table1[[#This Row],[ID ROW]]&lt;=12,1,INT((Table1[[#This Row],[ID ROW]]-1)/12)+1)</f>
        <v>8</v>
      </c>
      <c r="P469" s="10">
        <f>Table1[[#This Row],[ID ROW]]-((Table1[[#This Row],[SECT]]-1)*12)</f>
        <v>1</v>
      </c>
    </row>
    <row r="470" spans="1:16" ht="15.75" customHeight="1" x14ac:dyDescent="0.25">
      <c r="A470" s="6" t="s">
        <v>1717</v>
      </c>
      <c r="B470" s="6" t="s">
        <v>1718</v>
      </c>
      <c r="C470" s="6" t="s">
        <v>1719</v>
      </c>
      <c r="D470" s="6" t="s">
        <v>1204</v>
      </c>
      <c r="F470" s="7" t="s">
        <v>1720</v>
      </c>
      <c r="G470" s="8">
        <v>469</v>
      </c>
      <c r="H470" s="9" t="s">
        <v>21</v>
      </c>
      <c r="I470" s="9">
        <f t="shared" si="29"/>
        <v>86</v>
      </c>
      <c r="J470" s="9">
        <f t="shared" si="28"/>
        <v>1</v>
      </c>
      <c r="K470" s="10" t="str">
        <f t="shared" si="30"/>
        <v>S1R86B1</v>
      </c>
      <c r="L470" s="10" t="s">
        <v>22</v>
      </c>
      <c r="M470" s="10">
        <f>IF(Table1[[#This Row],[ID ROW]]&lt;=12,Table1[[#This Row],[ID ROW]],Table1[[#This Row],[ID ROW]]+INT((Table1[[#This Row],[ID ROW]]-1)/12)*2)</f>
        <v>100</v>
      </c>
      <c r="N470" s="10" t="str">
        <f t="shared" si="31"/>
        <v>RSR100B1</v>
      </c>
      <c r="O470" s="10">
        <f>IF(Table1[[#This Row],[ID ROW]]&lt;=12,1,INT((Table1[[#This Row],[ID ROW]]-1)/12)+1)</f>
        <v>8</v>
      </c>
      <c r="P470" s="10">
        <f>Table1[[#This Row],[ID ROW]]-((Table1[[#This Row],[SECT]]-1)*12)</f>
        <v>2</v>
      </c>
    </row>
    <row r="471" spans="1:16" ht="15.75" customHeight="1" x14ac:dyDescent="0.3">
      <c r="A471" s="6" t="s">
        <v>1721</v>
      </c>
      <c r="B471" s="6" t="s">
        <v>1722</v>
      </c>
      <c r="C471" s="6" t="s">
        <v>1723</v>
      </c>
      <c r="D471" s="6" t="s">
        <v>1724</v>
      </c>
      <c r="F471" s="13" t="s">
        <v>1582</v>
      </c>
      <c r="G471" s="8">
        <v>470</v>
      </c>
      <c r="H471" s="9" t="s">
        <v>21</v>
      </c>
      <c r="I471" s="9">
        <f t="shared" si="29"/>
        <v>86</v>
      </c>
      <c r="J471" s="9">
        <f t="shared" si="28"/>
        <v>2</v>
      </c>
      <c r="K471" s="10" t="str">
        <f t="shared" si="30"/>
        <v>S1R86B2</v>
      </c>
      <c r="L471" s="10" t="s">
        <v>22</v>
      </c>
      <c r="M471" s="10">
        <f>IF(Table1[[#This Row],[ID ROW]]&lt;=12,Table1[[#This Row],[ID ROW]],Table1[[#This Row],[ID ROW]]+INT((Table1[[#This Row],[ID ROW]]-1)/12)*2)</f>
        <v>100</v>
      </c>
      <c r="N471" s="10" t="str">
        <f t="shared" si="31"/>
        <v>RSR100B2</v>
      </c>
      <c r="O471" s="10">
        <f>IF(Table1[[#This Row],[ID ROW]]&lt;=12,1,INT((Table1[[#This Row],[ID ROW]]-1)/12)+1)</f>
        <v>8</v>
      </c>
      <c r="P471" s="10">
        <f>Table1[[#This Row],[ID ROW]]-((Table1[[#This Row],[SECT]]-1)*12)</f>
        <v>2</v>
      </c>
    </row>
    <row r="472" spans="1:16" ht="15.75" customHeight="1" x14ac:dyDescent="0.25">
      <c r="A472" s="6" t="s">
        <v>1725</v>
      </c>
      <c r="B472" s="6" t="s">
        <v>1726</v>
      </c>
      <c r="C472" s="6" t="s">
        <v>1727</v>
      </c>
      <c r="D472" s="6" t="s">
        <v>1728</v>
      </c>
      <c r="F472" s="7" t="s">
        <v>1729</v>
      </c>
      <c r="G472" s="8">
        <v>471</v>
      </c>
      <c r="H472" s="9" t="s">
        <v>21</v>
      </c>
      <c r="I472" s="9">
        <f t="shared" si="29"/>
        <v>86</v>
      </c>
      <c r="J472" s="9">
        <f t="shared" si="28"/>
        <v>3</v>
      </c>
      <c r="K472" s="10" t="str">
        <f t="shared" si="30"/>
        <v>S1R86B3</v>
      </c>
      <c r="L472" s="10" t="s">
        <v>22</v>
      </c>
      <c r="M472" s="10">
        <f>IF(Table1[[#This Row],[ID ROW]]&lt;=12,Table1[[#This Row],[ID ROW]],Table1[[#This Row],[ID ROW]]+INT((Table1[[#This Row],[ID ROW]]-1)/12)*2)</f>
        <v>100</v>
      </c>
      <c r="N472" s="10" t="str">
        <f t="shared" si="31"/>
        <v>RSR100B3</v>
      </c>
      <c r="O472" s="10">
        <f>IF(Table1[[#This Row],[ID ROW]]&lt;=12,1,INT((Table1[[#This Row],[ID ROW]]-1)/12)+1)</f>
        <v>8</v>
      </c>
      <c r="P472" s="10">
        <f>Table1[[#This Row],[ID ROW]]-((Table1[[#This Row],[SECT]]-1)*12)</f>
        <v>2</v>
      </c>
    </row>
    <row r="473" spans="1:16" ht="15.75" customHeight="1" x14ac:dyDescent="0.3">
      <c r="A473" s="6" t="s">
        <v>1730</v>
      </c>
      <c r="B473" s="6" t="s">
        <v>1731</v>
      </c>
      <c r="C473" s="6" t="s">
        <v>1732</v>
      </c>
      <c r="D473" s="6" t="s">
        <v>1733</v>
      </c>
      <c r="F473" s="13" t="s">
        <v>1734</v>
      </c>
      <c r="G473" s="8">
        <v>472</v>
      </c>
      <c r="H473" s="9" t="s">
        <v>21</v>
      </c>
      <c r="I473" s="9">
        <f t="shared" si="29"/>
        <v>86</v>
      </c>
      <c r="J473" s="9">
        <f t="shared" si="28"/>
        <v>4</v>
      </c>
      <c r="K473" s="10" t="str">
        <f t="shared" si="30"/>
        <v>S1R86B4</v>
      </c>
      <c r="L473" s="10" t="s">
        <v>22</v>
      </c>
      <c r="M473" s="10">
        <f>IF(Table1[[#This Row],[ID ROW]]&lt;=12,Table1[[#This Row],[ID ROW]],Table1[[#This Row],[ID ROW]]+INT((Table1[[#This Row],[ID ROW]]-1)/12)*2)</f>
        <v>100</v>
      </c>
      <c r="N473" s="10" t="str">
        <f t="shared" si="31"/>
        <v>RSR100B4</v>
      </c>
      <c r="O473" s="10">
        <f>IF(Table1[[#This Row],[ID ROW]]&lt;=12,1,INT((Table1[[#This Row],[ID ROW]]-1)/12)+1)</f>
        <v>8</v>
      </c>
      <c r="P473" s="10">
        <f>Table1[[#This Row],[ID ROW]]-((Table1[[#This Row],[SECT]]-1)*12)</f>
        <v>2</v>
      </c>
    </row>
    <row r="474" spans="1:16" ht="15.75" customHeight="1" x14ac:dyDescent="0.25">
      <c r="A474" s="6" t="s">
        <v>1735</v>
      </c>
      <c r="B474" s="6" t="s">
        <v>1736</v>
      </c>
      <c r="F474" s="7" t="s">
        <v>1737</v>
      </c>
      <c r="G474" s="8">
        <v>473</v>
      </c>
      <c r="H474" s="9" t="s">
        <v>21</v>
      </c>
      <c r="I474" s="9">
        <f t="shared" si="29"/>
        <v>86</v>
      </c>
      <c r="J474" s="9">
        <f t="shared" si="28"/>
        <v>5</v>
      </c>
      <c r="K474" s="10" t="str">
        <f t="shared" si="30"/>
        <v>S1R86B5</v>
      </c>
      <c r="L474" s="10" t="s">
        <v>22</v>
      </c>
      <c r="M474" s="10">
        <f>IF(Table1[[#This Row],[ID ROW]]&lt;=12,Table1[[#This Row],[ID ROW]],Table1[[#This Row],[ID ROW]]+INT((Table1[[#This Row],[ID ROW]]-1)/12)*2)</f>
        <v>100</v>
      </c>
      <c r="N474" s="10" t="str">
        <f t="shared" si="31"/>
        <v>RSR100B5</v>
      </c>
      <c r="O474" s="10">
        <f>IF(Table1[[#This Row],[ID ROW]]&lt;=12,1,INT((Table1[[#This Row],[ID ROW]]-1)/12)+1)</f>
        <v>8</v>
      </c>
      <c r="P474" s="10">
        <f>Table1[[#This Row],[ID ROW]]-((Table1[[#This Row],[SECT]]-1)*12)</f>
        <v>2</v>
      </c>
    </row>
    <row r="475" spans="1:16" ht="15.75" customHeight="1" x14ac:dyDescent="0.3">
      <c r="A475" s="6" t="s">
        <v>1738</v>
      </c>
      <c r="B475" s="6" t="s">
        <v>234</v>
      </c>
      <c r="C475" s="6" t="s">
        <v>105</v>
      </c>
      <c r="F475" s="13" t="s">
        <v>1739</v>
      </c>
      <c r="G475" s="8">
        <v>474</v>
      </c>
      <c r="H475" s="9" t="s">
        <v>21</v>
      </c>
      <c r="I475" s="9">
        <f t="shared" si="29"/>
        <v>87</v>
      </c>
      <c r="J475" s="9">
        <f t="shared" si="28"/>
        <v>1</v>
      </c>
      <c r="K475" s="10" t="str">
        <f t="shared" si="30"/>
        <v>S1R87B1</v>
      </c>
      <c r="L475" s="10" t="s">
        <v>22</v>
      </c>
      <c r="M475" s="10">
        <f>IF(Table1[[#This Row],[ID ROW]]&lt;=12,Table1[[#This Row],[ID ROW]],Table1[[#This Row],[ID ROW]]+INT((Table1[[#This Row],[ID ROW]]-1)/12)*2)</f>
        <v>101</v>
      </c>
      <c r="N475" s="10" t="str">
        <f t="shared" si="31"/>
        <v>RSR101B1</v>
      </c>
      <c r="O475" s="10">
        <f>IF(Table1[[#This Row],[ID ROW]]&lt;=12,1,INT((Table1[[#This Row],[ID ROW]]-1)/12)+1)</f>
        <v>8</v>
      </c>
      <c r="P475" s="10">
        <f>Table1[[#This Row],[ID ROW]]-((Table1[[#This Row],[SECT]]-1)*12)</f>
        <v>3</v>
      </c>
    </row>
    <row r="476" spans="1:16" ht="15.75" customHeight="1" x14ac:dyDescent="0.25">
      <c r="A476" s="6" t="s">
        <v>1740</v>
      </c>
      <c r="B476" s="6" t="s">
        <v>150</v>
      </c>
      <c r="C476" s="6" t="s">
        <v>1741</v>
      </c>
      <c r="D476" s="6" t="s">
        <v>1742</v>
      </c>
      <c r="F476" s="7" t="s">
        <v>1743</v>
      </c>
      <c r="G476" s="8">
        <v>475</v>
      </c>
      <c r="H476" s="9" t="s">
        <v>21</v>
      </c>
      <c r="I476" s="9">
        <f t="shared" si="29"/>
        <v>87</v>
      </c>
      <c r="J476" s="9">
        <f t="shared" si="28"/>
        <v>2</v>
      </c>
      <c r="K476" s="10" t="str">
        <f t="shared" si="30"/>
        <v>S1R87B2</v>
      </c>
      <c r="L476" s="10" t="s">
        <v>22</v>
      </c>
      <c r="M476" s="10">
        <f>IF(Table1[[#This Row],[ID ROW]]&lt;=12,Table1[[#This Row],[ID ROW]],Table1[[#This Row],[ID ROW]]+INT((Table1[[#This Row],[ID ROW]]-1)/12)*2)</f>
        <v>101</v>
      </c>
      <c r="N476" s="10" t="str">
        <f t="shared" si="31"/>
        <v>RSR101B2</v>
      </c>
      <c r="O476" s="10">
        <f>IF(Table1[[#This Row],[ID ROW]]&lt;=12,1,INT((Table1[[#This Row],[ID ROW]]-1)/12)+1)</f>
        <v>8</v>
      </c>
      <c r="P476" s="10">
        <f>Table1[[#This Row],[ID ROW]]-((Table1[[#This Row],[SECT]]-1)*12)</f>
        <v>3</v>
      </c>
    </row>
    <row r="477" spans="1:16" ht="15.75" customHeight="1" x14ac:dyDescent="0.3">
      <c r="A477" s="6" t="s">
        <v>1744</v>
      </c>
      <c r="B477" s="6" t="s">
        <v>1394</v>
      </c>
      <c r="C477" s="6" t="s">
        <v>1379</v>
      </c>
      <c r="D477" s="6" t="s">
        <v>1745</v>
      </c>
      <c r="F477" s="13" t="s">
        <v>1746</v>
      </c>
      <c r="G477" s="8">
        <v>476</v>
      </c>
      <c r="H477" s="9" t="s">
        <v>21</v>
      </c>
      <c r="I477" s="9">
        <f t="shared" si="29"/>
        <v>87</v>
      </c>
      <c r="J477" s="9">
        <f t="shared" si="28"/>
        <v>3</v>
      </c>
      <c r="K477" s="10" t="str">
        <f t="shared" si="30"/>
        <v>S1R87B3</v>
      </c>
      <c r="L477" s="10" t="s">
        <v>22</v>
      </c>
      <c r="M477" s="10">
        <f>IF(Table1[[#This Row],[ID ROW]]&lt;=12,Table1[[#This Row],[ID ROW]],Table1[[#This Row],[ID ROW]]+INT((Table1[[#This Row],[ID ROW]]-1)/12)*2)</f>
        <v>101</v>
      </c>
      <c r="N477" s="10" t="str">
        <f t="shared" si="31"/>
        <v>RSR101B3</v>
      </c>
      <c r="O477" s="10">
        <f>IF(Table1[[#This Row],[ID ROW]]&lt;=12,1,INT((Table1[[#This Row],[ID ROW]]-1)/12)+1)</f>
        <v>8</v>
      </c>
      <c r="P477" s="10">
        <f>Table1[[#This Row],[ID ROW]]-((Table1[[#This Row],[SECT]]-1)*12)</f>
        <v>3</v>
      </c>
    </row>
    <row r="478" spans="1:16" ht="15.75" customHeight="1" x14ac:dyDescent="0.25">
      <c r="A478" s="6" t="s">
        <v>1747</v>
      </c>
      <c r="B478" s="6" t="s">
        <v>1748</v>
      </c>
      <c r="C478" s="6" t="s">
        <v>296</v>
      </c>
      <c r="D478" s="6" t="s">
        <v>264</v>
      </c>
      <c r="F478" s="7" t="s">
        <v>1749</v>
      </c>
      <c r="G478" s="8">
        <v>477</v>
      </c>
      <c r="H478" s="9" t="s">
        <v>21</v>
      </c>
      <c r="I478" s="9">
        <f t="shared" si="29"/>
        <v>87</v>
      </c>
      <c r="J478" s="9">
        <f t="shared" si="28"/>
        <v>4</v>
      </c>
      <c r="K478" s="10" t="str">
        <f t="shared" si="30"/>
        <v>S1R87B4</v>
      </c>
      <c r="L478" s="10" t="s">
        <v>22</v>
      </c>
      <c r="M478" s="10">
        <f>IF(Table1[[#This Row],[ID ROW]]&lt;=12,Table1[[#This Row],[ID ROW]],Table1[[#This Row],[ID ROW]]+INT((Table1[[#This Row],[ID ROW]]-1)/12)*2)</f>
        <v>101</v>
      </c>
      <c r="N478" s="10" t="str">
        <f t="shared" si="31"/>
        <v>RSR101B4</v>
      </c>
      <c r="O478" s="10">
        <f>IF(Table1[[#This Row],[ID ROW]]&lt;=12,1,INT((Table1[[#This Row],[ID ROW]]-1)/12)+1)</f>
        <v>8</v>
      </c>
      <c r="P478" s="10">
        <f>Table1[[#This Row],[ID ROW]]-((Table1[[#This Row],[SECT]]-1)*12)</f>
        <v>3</v>
      </c>
    </row>
    <row r="479" spans="1:16" ht="15.75" customHeight="1" x14ac:dyDescent="0.3">
      <c r="A479" s="6" t="s">
        <v>1750</v>
      </c>
      <c r="B479" s="6" t="s">
        <v>1718</v>
      </c>
      <c r="C479" s="6" t="s">
        <v>1751</v>
      </c>
      <c r="D479" s="6" t="s">
        <v>141</v>
      </c>
      <c r="F479" s="13" t="s">
        <v>1752</v>
      </c>
      <c r="G479" s="8">
        <v>478</v>
      </c>
      <c r="H479" s="9" t="s">
        <v>21</v>
      </c>
      <c r="I479" s="9">
        <f t="shared" si="29"/>
        <v>87</v>
      </c>
      <c r="J479" s="9">
        <f t="shared" si="28"/>
        <v>5</v>
      </c>
      <c r="K479" s="10" t="str">
        <f t="shared" si="30"/>
        <v>S1R87B5</v>
      </c>
      <c r="L479" s="10" t="s">
        <v>22</v>
      </c>
      <c r="M479" s="10">
        <f>IF(Table1[[#This Row],[ID ROW]]&lt;=12,Table1[[#This Row],[ID ROW]],Table1[[#This Row],[ID ROW]]+INT((Table1[[#This Row],[ID ROW]]-1)/12)*2)</f>
        <v>101</v>
      </c>
      <c r="N479" s="10" t="str">
        <f t="shared" si="31"/>
        <v>RSR101B5</v>
      </c>
      <c r="O479" s="10">
        <f>IF(Table1[[#This Row],[ID ROW]]&lt;=12,1,INT((Table1[[#This Row],[ID ROW]]-1)/12)+1)</f>
        <v>8</v>
      </c>
      <c r="P479" s="10">
        <f>Table1[[#This Row],[ID ROW]]-((Table1[[#This Row],[SECT]]-1)*12)</f>
        <v>3</v>
      </c>
    </row>
    <row r="480" spans="1:16" ht="15.75" customHeight="1" x14ac:dyDescent="0.25">
      <c r="A480" s="6" t="s">
        <v>1753</v>
      </c>
      <c r="B480" s="6" t="s">
        <v>1754</v>
      </c>
      <c r="C480" s="6" t="s">
        <v>1755</v>
      </c>
      <c r="D480" s="6" t="s">
        <v>1756</v>
      </c>
      <c r="F480" s="7" t="s">
        <v>307</v>
      </c>
      <c r="G480" s="8">
        <v>479</v>
      </c>
      <c r="H480" s="9" t="s">
        <v>21</v>
      </c>
      <c r="I480" s="9">
        <f t="shared" si="29"/>
        <v>87</v>
      </c>
      <c r="J480" s="9">
        <f t="shared" si="28"/>
        <v>6</v>
      </c>
      <c r="K480" s="10" t="str">
        <f t="shared" si="30"/>
        <v>S1R87B6</v>
      </c>
      <c r="L480" s="10" t="s">
        <v>22</v>
      </c>
      <c r="M480" s="10">
        <f>IF(Table1[[#This Row],[ID ROW]]&lt;=12,Table1[[#This Row],[ID ROW]],Table1[[#This Row],[ID ROW]]+INT((Table1[[#This Row],[ID ROW]]-1)/12)*2)</f>
        <v>101</v>
      </c>
      <c r="N480" s="10" t="str">
        <f t="shared" si="31"/>
        <v>RSR101B6</v>
      </c>
      <c r="O480" s="10">
        <f>IF(Table1[[#This Row],[ID ROW]]&lt;=12,1,INT((Table1[[#This Row],[ID ROW]]-1)/12)+1)</f>
        <v>8</v>
      </c>
      <c r="P480" s="10">
        <f>Table1[[#This Row],[ID ROW]]-((Table1[[#This Row],[SECT]]-1)*12)</f>
        <v>3</v>
      </c>
    </row>
    <row r="481" spans="1:16" ht="15.75" customHeight="1" x14ac:dyDescent="0.3">
      <c r="A481" s="6" t="s">
        <v>1757</v>
      </c>
      <c r="B481" s="6" t="s">
        <v>1568</v>
      </c>
      <c r="C481" s="6" t="s">
        <v>1758</v>
      </c>
      <c r="D481" s="6" t="s">
        <v>210</v>
      </c>
      <c r="F481" s="13" t="s">
        <v>307</v>
      </c>
      <c r="G481" s="8">
        <v>480</v>
      </c>
      <c r="H481" s="9" t="s">
        <v>21</v>
      </c>
      <c r="I481" s="9">
        <f t="shared" si="29"/>
        <v>88</v>
      </c>
      <c r="J481" s="9">
        <f t="shared" si="28"/>
        <v>1</v>
      </c>
      <c r="K481" s="10" t="str">
        <f t="shared" si="30"/>
        <v>S1R88B1</v>
      </c>
      <c r="L481" s="10" t="s">
        <v>22</v>
      </c>
      <c r="M481" s="10">
        <f>IF(Table1[[#This Row],[ID ROW]]&lt;=12,Table1[[#This Row],[ID ROW]],Table1[[#This Row],[ID ROW]]+INT((Table1[[#This Row],[ID ROW]]-1)/12)*2)</f>
        <v>102</v>
      </c>
      <c r="N481" s="10" t="str">
        <f t="shared" si="31"/>
        <v>RSR102B1</v>
      </c>
      <c r="O481" s="10">
        <f>IF(Table1[[#This Row],[ID ROW]]&lt;=12,1,INT((Table1[[#This Row],[ID ROW]]-1)/12)+1)</f>
        <v>8</v>
      </c>
      <c r="P481" s="10">
        <f>Table1[[#This Row],[ID ROW]]-((Table1[[#This Row],[SECT]]-1)*12)</f>
        <v>4</v>
      </c>
    </row>
    <row r="482" spans="1:16" ht="15.75" customHeight="1" x14ac:dyDescent="0.25">
      <c r="A482" s="6" t="s">
        <v>165</v>
      </c>
      <c r="B482" s="6" t="s">
        <v>1759</v>
      </c>
      <c r="C482" s="6" t="s">
        <v>1394</v>
      </c>
      <c r="F482" s="7" t="s">
        <v>1760</v>
      </c>
      <c r="G482" s="8">
        <v>481</v>
      </c>
      <c r="H482" s="9" t="s">
        <v>21</v>
      </c>
      <c r="I482" s="9">
        <f t="shared" si="29"/>
        <v>88</v>
      </c>
      <c r="J482" s="9">
        <f t="shared" si="28"/>
        <v>2</v>
      </c>
      <c r="K482" s="10" t="str">
        <f t="shared" si="30"/>
        <v>S1R88B2</v>
      </c>
      <c r="L482" s="10" t="s">
        <v>22</v>
      </c>
      <c r="M482" s="10">
        <f>IF(Table1[[#This Row],[ID ROW]]&lt;=12,Table1[[#This Row],[ID ROW]],Table1[[#This Row],[ID ROW]]+INT((Table1[[#This Row],[ID ROW]]-1)/12)*2)</f>
        <v>102</v>
      </c>
      <c r="N482" s="10" t="str">
        <f t="shared" si="31"/>
        <v>RSR102B2</v>
      </c>
      <c r="O482" s="10">
        <f>IF(Table1[[#This Row],[ID ROW]]&lt;=12,1,INT((Table1[[#This Row],[ID ROW]]-1)/12)+1)</f>
        <v>8</v>
      </c>
      <c r="P482" s="10">
        <f>Table1[[#This Row],[ID ROW]]-((Table1[[#This Row],[SECT]]-1)*12)</f>
        <v>4</v>
      </c>
    </row>
    <row r="483" spans="1:16" ht="15.75" customHeight="1" x14ac:dyDescent="0.3">
      <c r="A483" s="6" t="s">
        <v>1761</v>
      </c>
      <c r="B483" s="6" t="s">
        <v>150</v>
      </c>
      <c r="C483" s="6" t="s">
        <v>1762</v>
      </c>
      <c r="D483" s="6" t="s">
        <v>1763</v>
      </c>
      <c r="F483" s="13" t="s">
        <v>744</v>
      </c>
      <c r="G483" s="8">
        <v>482</v>
      </c>
      <c r="H483" s="9" t="s">
        <v>21</v>
      </c>
      <c r="I483" s="9">
        <f t="shared" si="29"/>
        <v>88</v>
      </c>
      <c r="J483" s="9">
        <f t="shared" si="28"/>
        <v>3</v>
      </c>
      <c r="K483" s="10" t="str">
        <f t="shared" si="30"/>
        <v>S1R88B3</v>
      </c>
      <c r="L483" s="10" t="s">
        <v>22</v>
      </c>
      <c r="M483" s="10">
        <f>IF(Table1[[#This Row],[ID ROW]]&lt;=12,Table1[[#This Row],[ID ROW]],Table1[[#This Row],[ID ROW]]+INT((Table1[[#This Row],[ID ROW]]-1)/12)*2)</f>
        <v>102</v>
      </c>
      <c r="N483" s="10" t="str">
        <f t="shared" si="31"/>
        <v>RSR102B3</v>
      </c>
      <c r="O483" s="10">
        <f>IF(Table1[[#This Row],[ID ROW]]&lt;=12,1,INT((Table1[[#This Row],[ID ROW]]-1)/12)+1)</f>
        <v>8</v>
      </c>
      <c r="P483" s="10">
        <f>Table1[[#This Row],[ID ROW]]-((Table1[[#This Row],[SECT]]-1)*12)</f>
        <v>4</v>
      </c>
    </row>
    <row r="484" spans="1:16" ht="15.75" customHeight="1" x14ac:dyDescent="0.25">
      <c r="A484" s="6" t="s">
        <v>1764</v>
      </c>
      <c r="B484" s="6" t="s">
        <v>1549</v>
      </c>
      <c r="C484" s="6" t="s">
        <v>67</v>
      </c>
      <c r="D484" s="6" t="s">
        <v>1765</v>
      </c>
      <c r="F484" s="7" t="s">
        <v>1766</v>
      </c>
      <c r="G484" s="8">
        <v>483</v>
      </c>
      <c r="H484" s="9" t="s">
        <v>21</v>
      </c>
      <c r="I484" s="9">
        <f t="shared" si="29"/>
        <v>88</v>
      </c>
      <c r="J484" s="9">
        <f t="shared" si="28"/>
        <v>4</v>
      </c>
      <c r="K484" s="10" t="str">
        <f t="shared" si="30"/>
        <v>S1R88B4</v>
      </c>
      <c r="L484" s="10" t="s">
        <v>22</v>
      </c>
      <c r="M484" s="10">
        <f>IF(Table1[[#This Row],[ID ROW]]&lt;=12,Table1[[#This Row],[ID ROW]],Table1[[#This Row],[ID ROW]]+INT((Table1[[#This Row],[ID ROW]]-1)/12)*2)</f>
        <v>102</v>
      </c>
      <c r="N484" s="10" t="str">
        <f t="shared" si="31"/>
        <v>RSR102B4</v>
      </c>
      <c r="O484" s="10">
        <f>IF(Table1[[#This Row],[ID ROW]]&lt;=12,1,INT((Table1[[#This Row],[ID ROW]]-1)/12)+1)</f>
        <v>8</v>
      </c>
      <c r="P484" s="10">
        <f>Table1[[#This Row],[ID ROW]]-((Table1[[#This Row],[SECT]]-1)*12)</f>
        <v>4</v>
      </c>
    </row>
    <row r="485" spans="1:16" ht="15.75" customHeight="1" x14ac:dyDescent="0.3">
      <c r="A485" s="6" t="s">
        <v>1767</v>
      </c>
      <c r="B485" s="6" t="s">
        <v>338</v>
      </c>
      <c r="C485" s="6" t="s">
        <v>1768</v>
      </c>
      <c r="F485" s="13" t="s">
        <v>1769</v>
      </c>
      <c r="G485" s="8">
        <v>484</v>
      </c>
      <c r="H485" s="9" t="s">
        <v>21</v>
      </c>
      <c r="I485" s="9">
        <f t="shared" si="29"/>
        <v>88</v>
      </c>
      <c r="J485" s="9">
        <f t="shared" si="28"/>
        <v>5</v>
      </c>
      <c r="K485" s="10" t="str">
        <f t="shared" si="30"/>
        <v>S1R88B5</v>
      </c>
      <c r="L485" s="10" t="s">
        <v>22</v>
      </c>
      <c r="M485" s="10">
        <f>IF(Table1[[#This Row],[ID ROW]]&lt;=12,Table1[[#This Row],[ID ROW]],Table1[[#This Row],[ID ROW]]+INT((Table1[[#This Row],[ID ROW]]-1)/12)*2)</f>
        <v>102</v>
      </c>
      <c r="N485" s="10" t="str">
        <f t="shared" si="31"/>
        <v>RSR102B5</v>
      </c>
      <c r="O485" s="10">
        <f>IF(Table1[[#This Row],[ID ROW]]&lt;=12,1,INT((Table1[[#This Row],[ID ROW]]-1)/12)+1)</f>
        <v>8</v>
      </c>
      <c r="P485" s="10">
        <f>Table1[[#This Row],[ID ROW]]-((Table1[[#This Row],[SECT]]-1)*12)</f>
        <v>4</v>
      </c>
    </row>
    <row r="486" spans="1:16" ht="15.75" customHeight="1" x14ac:dyDescent="0.25">
      <c r="A486" s="6" t="s">
        <v>1770</v>
      </c>
      <c r="B486" s="6" t="s">
        <v>517</v>
      </c>
      <c r="C486" s="6" t="s">
        <v>1771</v>
      </c>
      <c r="F486" s="7" t="s">
        <v>1772</v>
      </c>
      <c r="G486" s="8">
        <v>485</v>
      </c>
      <c r="H486" s="9" t="s">
        <v>21</v>
      </c>
      <c r="I486" s="9">
        <f t="shared" si="29"/>
        <v>89</v>
      </c>
      <c r="J486" s="9">
        <f t="shared" si="28"/>
        <v>1</v>
      </c>
      <c r="K486" s="10" t="str">
        <f t="shared" si="30"/>
        <v>S1R89B1</v>
      </c>
      <c r="L486" s="10" t="s">
        <v>22</v>
      </c>
      <c r="M486" s="10">
        <f>IF(Table1[[#This Row],[ID ROW]]&lt;=12,Table1[[#This Row],[ID ROW]],Table1[[#This Row],[ID ROW]]+INT((Table1[[#This Row],[ID ROW]]-1)/12)*2)</f>
        <v>103</v>
      </c>
      <c r="N486" s="10" t="str">
        <f t="shared" si="31"/>
        <v>RSR103B1</v>
      </c>
      <c r="O486" s="10">
        <f>IF(Table1[[#This Row],[ID ROW]]&lt;=12,1,INT((Table1[[#This Row],[ID ROW]]-1)/12)+1)</f>
        <v>8</v>
      </c>
      <c r="P486" s="10">
        <f>Table1[[#This Row],[ID ROW]]-((Table1[[#This Row],[SECT]]-1)*12)</f>
        <v>5</v>
      </c>
    </row>
    <row r="487" spans="1:16" ht="15.75" customHeight="1" x14ac:dyDescent="0.3">
      <c r="A487" s="6" t="s">
        <v>165</v>
      </c>
      <c r="B487" s="6" t="s">
        <v>1773</v>
      </c>
      <c r="C487" s="6" t="s">
        <v>1774</v>
      </c>
      <c r="D487" s="6" t="s">
        <v>1775</v>
      </c>
      <c r="F487" s="13" t="s">
        <v>1776</v>
      </c>
      <c r="G487" s="8">
        <v>486</v>
      </c>
      <c r="H487" s="9" t="s">
        <v>21</v>
      </c>
      <c r="I487" s="9">
        <f t="shared" si="29"/>
        <v>89</v>
      </c>
      <c r="J487" s="9">
        <f t="shared" si="28"/>
        <v>2</v>
      </c>
      <c r="K487" s="10" t="str">
        <f>H487&amp;"R"&amp;I487&amp;"B"&amp;J487</f>
        <v>S1R89B2</v>
      </c>
      <c r="L487" s="10" t="s">
        <v>22</v>
      </c>
      <c r="M487" s="10">
        <f>IF(Table1[[#This Row],[ID ROW]]&lt;=12,Table1[[#This Row],[ID ROW]],Table1[[#This Row],[ID ROW]]+INT((Table1[[#This Row],[ID ROW]]-1)/12)*2)</f>
        <v>103</v>
      </c>
      <c r="N487" s="10" t="str">
        <f t="shared" si="31"/>
        <v>RSR103B2</v>
      </c>
      <c r="O487" s="10">
        <f>IF(Table1[[#This Row],[ID ROW]]&lt;=12,1,INT((Table1[[#This Row],[ID ROW]]-1)/12)+1)</f>
        <v>8</v>
      </c>
      <c r="P487" s="10">
        <f>Table1[[#This Row],[ID ROW]]-((Table1[[#This Row],[SECT]]-1)*12)</f>
        <v>5</v>
      </c>
    </row>
    <row r="488" spans="1:16" ht="15.75" customHeight="1" x14ac:dyDescent="0.25">
      <c r="A488" s="6" t="s">
        <v>165</v>
      </c>
      <c r="B488" s="6" t="s">
        <v>1777</v>
      </c>
      <c r="C488" s="6" t="s">
        <v>1778</v>
      </c>
      <c r="D488" s="6" t="s">
        <v>1779</v>
      </c>
      <c r="F488" s="7" t="s">
        <v>1776</v>
      </c>
      <c r="G488" s="8">
        <v>487</v>
      </c>
      <c r="H488" s="9" t="s">
        <v>21</v>
      </c>
      <c r="I488" s="9">
        <f t="shared" si="29"/>
        <v>89</v>
      </c>
      <c r="J488" s="9">
        <f t="shared" si="28"/>
        <v>3</v>
      </c>
      <c r="K488" s="10" t="str">
        <f t="shared" ref="K488:K523" si="32">H488&amp;"R"&amp;I488&amp;"B"&amp;J488</f>
        <v>S1R89B3</v>
      </c>
      <c r="L488" s="10" t="s">
        <v>22</v>
      </c>
      <c r="M488" s="10">
        <f>IF(Table1[[#This Row],[ID ROW]]&lt;=12,Table1[[#This Row],[ID ROW]],Table1[[#This Row],[ID ROW]]+INT((Table1[[#This Row],[ID ROW]]-1)/12)*2)</f>
        <v>103</v>
      </c>
      <c r="N488" s="10" t="str">
        <f t="shared" si="31"/>
        <v>RSR103B3</v>
      </c>
      <c r="O488" s="10">
        <f>IF(Table1[[#This Row],[ID ROW]]&lt;=12,1,INT((Table1[[#This Row],[ID ROW]]-1)/12)+1)</f>
        <v>8</v>
      </c>
      <c r="P488" s="10">
        <f>Table1[[#This Row],[ID ROW]]-((Table1[[#This Row],[SECT]]-1)*12)</f>
        <v>5</v>
      </c>
    </row>
    <row r="489" spans="1:16" ht="15.75" customHeight="1" x14ac:dyDescent="0.3">
      <c r="A489" s="6" t="s">
        <v>1780</v>
      </c>
      <c r="B489" s="6" t="s">
        <v>1781</v>
      </c>
      <c r="C489" s="6" t="s">
        <v>1488</v>
      </c>
      <c r="D489" s="6" t="s">
        <v>1782</v>
      </c>
      <c r="F489" s="13" t="s">
        <v>1783</v>
      </c>
      <c r="G489" s="8">
        <v>488</v>
      </c>
      <c r="H489" s="9" t="s">
        <v>21</v>
      </c>
      <c r="I489" s="9">
        <f t="shared" si="29"/>
        <v>89</v>
      </c>
      <c r="J489" s="9">
        <f t="shared" si="28"/>
        <v>4</v>
      </c>
      <c r="K489" s="10" t="str">
        <f t="shared" si="32"/>
        <v>S1R89B4</v>
      </c>
      <c r="L489" s="10" t="s">
        <v>22</v>
      </c>
      <c r="M489" s="10">
        <f>IF(Table1[[#This Row],[ID ROW]]&lt;=12,Table1[[#This Row],[ID ROW]],Table1[[#This Row],[ID ROW]]+INT((Table1[[#This Row],[ID ROW]]-1)/12)*2)</f>
        <v>103</v>
      </c>
      <c r="N489" s="10" t="str">
        <f t="shared" si="31"/>
        <v>RSR103B4</v>
      </c>
      <c r="O489" s="10">
        <f>IF(Table1[[#This Row],[ID ROW]]&lt;=12,1,INT((Table1[[#This Row],[ID ROW]]-1)/12)+1)</f>
        <v>8</v>
      </c>
      <c r="P489" s="10">
        <f>Table1[[#This Row],[ID ROW]]-((Table1[[#This Row],[SECT]]-1)*12)</f>
        <v>5</v>
      </c>
    </row>
    <row r="490" spans="1:16" ht="15.75" customHeight="1" x14ac:dyDescent="0.25">
      <c r="A490" s="6" t="s">
        <v>1784</v>
      </c>
      <c r="B490" s="6" t="s">
        <v>1785</v>
      </c>
      <c r="C490" s="6" t="s">
        <v>1786</v>
      </c>
      <c r="D490" s="6" t="s">
        <v>1787</v>
      </c>
      <c r="F490" s="7" t="s">
        <v>1788</v>
      </c>
      <c r="G490" s="8">
        <v>489</v>
      </c>
      <c r="H490" s="9" t="s">
        <v>21</v>
      </c>
      <c r="I490" s="9">
        <f t="shared" si="29"/>
        <v>89</v>
      </c>
      <c r="J490" s="9">
        <f t="shared" si="28"/>
        <v>5</v>
      </c>
      <c r="K490" s="10" t="str">
        <f t="shared" si="32"/>
        <v>S1R89B5</v>
      </c>
      <c r="L490" s="10" t="s">
        <v>22</v>
      </c>
      <c r="M490" s="10">
        <f>IF(Table1[[#This Row],[ID ROW]]&lt;=12,Table1[[#This Row],[ID ROW]],Table1[[#This Row],[ID ROW]]+INT((Table1[[#This Row],[ID ROW]]-1)/12)*2)</f>
        <v>103</v>
      </c>
      <c r="N490" s="10" t="str">
        <f t="shared" si="31"/>
        <v>RSR103B5</v>
      </c>
      <c r="O490" s="10">
        <f>IF(Table1[[#This Row],[ID ROW]]&lt;=12,1,INT((Table1[[#This Row],[ID ROW]]-1)/12)+1)</f>
        <v>8</v>
      </c>
      <c r="P490" s="10">
        <f>Table1[[#This Row],[ID ROW]]-((Table1[[#This Row],[SECT]]-1)*12)</f>
        <v>5</v>
      </c>
    </row>
    <row r="491" spans="1:16" ht="15.75" customHeight="1" x14ac:dyDescent="0.3">
      <c r="A491" s="6" t="s">
        <v>1789</v>
      </c>
      <c r="B491" s="6" t="s">
        <v>1790</v>
      </c>
      <c r="C491" s="6" t="s">
        <v>1791</v>
      </c>
      <c r="D491" s="6" t="s">
        <v>1792</v>
      </c>
      <c r="F491" s="13" t="s">
        <v>1793</v>
      </c>
      <c r="G491" s="8">
        <v>490</v>
      </c>
      <c r="H491" s="9" t="s">
        <v>21</v>
      </c>
      <c r="I491" s="9">
        <f t="shared" si="29"/>
        <v>89</v>
      </c>
      <c r="J491" s="9">
        <f t="shared" si="28"/>
        <v>6</v>
      </c>
      <c r="K491" s="10" t="str">
        <f t="shared" si="32"/>
        <v>S1R89B6</v>
      </c>
      <c r="L491" s="10" t="s">
        <v>22</v>
      </c>
      <c r="M491" s="10">
        <f>IF(Table1[[#This Row],[ID ROW]]&lt;=12,Table1[[#This Row],[ID ROW]],Table1[[#This Row],[ID ROW]]+INT((Table1[[#This Row],[ID ROW]]-1)/12)*2)</f>
        <v>103</v>
      </c>
      <c r="N491" s="10" t="str">
        <f t="shared" si="31"/>
        <v>RSR103B6</v>
      </c>
      <c r="O491" s="10">
        <f>IF(Table1[[#This Row],[ID ROW]]&lt;=12,1,INT((Table1[[#This Row],[ID ROW]]-1)/12)+1)</f>
        <v>8</v>
      </c>
      <c r="P491" s="10">
        <f>Table1[[#This Row],[ID ROW]]-((Table1[[#This Row],[SECT]]-1)*12)</f>
        <v>5</v>
      </c>
    </row>
    <row r="492" spans="1:16" ht="15.75" customHeight="1" x14ac:dyDescent="0.25">
      <c r="A492" s="6" t="s">
        <v>204</v>
      </c>
      <c r="B492" s="6" t="s">
        <v>1794</v>
      </c>
      <c r="C492" s="6" t="s">
        <v>1795</v>
      </c>
      <c r="D492" s="6" t="s">
        <v>1779</v>
      </c>
      <c r="F492" s="7" t="s">
        <v>1776</v>
      </c>
      <c r="G492" s="8">
        <v>491</v>
      </c>
      <c r="H492" s="9" t="s">
        <v>21</v>
      </c>
      <c r="I492" s="9">
        <f t="shared" si="29"/>
        <v>90</v>
      </c>
      <c r="J492" s="9">
        <f t="shared" si="28"/>
        <v>1</v>
      </c>
      <c r="K492" s="10" t="str">
        <f t="shared" si="32"/>
        <v>S1R90B1</v>
      </c>
      <c r="L492" s="10" t="s">
        <v>22</v>
      </c>
      <c r="M492" s="10">
        <f>IF(Table1[[#This Row],[ID ROW]]&lt;=12,Table1[[#This Row],[ID ROW]],Table1[[#This Row],[ID ROW]]+INT((Table1[[#This Row],[ID ROW]]-1)/12)*2)</f>
        <v>104</v>
      </c>
      <c r="N492" s="10" t="str">
        <f t="shared" si="31"/>
        <v>RSR104B1</v>
      </c>
      <c r="O492" s="10">
        <f>IF(Table1[[#This Row],[ID ROW]]&lt;=12,1,INT((Table1[[#This Row],[ID ROW]]-1)/12)+1)</f>
        <v>8</v>
      </c>
      <c r="P492" s="10">
        <f>Table1[[#This Row],[ID ROW]]-((Table1[[#This Row],[SECT]]-1)*12)</f>
        <v>6</v>
      </c>
    </row>
    <row r="493" spans="1:16" ht="15.75" customHeight="1" x14ac:dyDescent="0.3">
      <c r="A493" s="6" t="s">
        <v>204</v>
      </c>
      <c r="B493" s="6" t="s">
        <v>1796</v>
      </c>
      <c r="C493" s="6" t="s">
        <v>1797</v>
      </c>
      <c r="D493" s="6" t="s">
        <v>364</v>
      </c>
      <c r="F493" s="13" t="s">
        <v>1776</v>
      </c>
      <c r="G493" s="8">
        <v>492</v>
      </c>
      <c r="H493" s="9" t="s">
        <v>21</v>
      </c>
      <c r="I493" s="9">
        <f t="shared" si="29"/>
        <v>90</v>
      </c>
      <c r="J493" s="9">
        <f t="shared" si="28"/>
        <v>2</v>
      </c>
      <c r="K493" s="10" t="str">
        <f t="shared" si="32"/>
        <v>S1R90B2</v>
      </c>
      <c r="L493" s="10" t="s">
        <v>22</v>
      </c>
      <c r="M493" s="10">
        <f>IF(Table1[[#This Row],[ID ROW]]&lt;=12,Table1[[#This Row],[ID ROW]],Table1[[#This Row],[ID ROW]]+INT((Table1[[#This Row],[ID ROW]]-1)/12)*2)</f>
        <v>104</v>
      </c>
      <c r="N493" s="10" t="str">
        <f t="shared" si="31"/>
        <v>RSR104B2</v>
      </c>
      <c r="O493" s="10">
        <f>IF(Table1[[#This Row],[ID ROW]]&lt;=12,1,INT((Table1[[#This Row],[ID ROW]]-1)/12)+1)</f>
        <v>8</v>
      </c>
      <c r="P493" s="10">
        <f>Table1[[#This Row],[ID ROW]]-((Table1[[#This Row],[SECT]]-1)*12)</f>
        <v>6</v>
      </c>
    </row>
    <row r="494" spans="1:16" ht="15.75" customHeight="1" x14ac:dyDescent="0.25">
      <c r="A494" s="6" t="s">
        <v>1798</v>
      </c>
      <c r="B494" s="6" t="s">
        <v>1799</v>
      </c>
      <c r="C494" s="6" t="s">
        <v>1800</v>
      </c>
      <c r="D494" s="6" t="s">
        <v>1216</v>
      </c>
      <c r="F494" s="7" t="s">
        <v>1801</v>
      </c>
      <c r="G494" s="8">
        <v>493</v>
      </c>
      <c r="H494" s="9" t="s">
        <v>21</v>
      </c>
      <c r="I494" s="9">
        <f t="shared" si="29"/>
        <v>90</v>
      </c>
      <c r="J494" s="9">
        <f t="shared" si="28"/>
        <v>3</v>
      </c>
      <c r="K494" s="10" t="str">
        <f t="shared" si="32"/>
        <v>S1R90B3</v>
      </c>
      <c r="L494" s="10" t="s">
        <v>22</v>
      </c>
      <c r="M494" s="10">
        <f>IF(Table1[[#This Row],[ID ROW]]&lt;=12,Table1[[#This Row],[ID ROW]],Table1[[#This Row],[ID ROW]]+INT((Table1[[#This Row],[ID ROW]]-1)/12)*2)</f>
        <v>104</v>
      </c>
      <c r="N494" s="10" t="str">
        <f t="shared" si="31"/>
        <v>RSR104B3</v>
      </c>
      <c r="O494" s="10">
        <f>IF(Table1[[#This Row],[ID ROW]]&lt;=12,1,INT((Table1[[#This Row],[ID ROW]]-1)/12)+1)</f>
        <v>8</v>
      </c>
      <c r="P494" s="10">
        <f>Table1[[#This Row],[ID ROW]]-((Table1[[#This Row],[SECT]]-1)*12)</f>
        <v>6</v>
      </c>
    </row>
    <row r="495" spans="1:16" ht="15.75" customHeight="1" x14ac:dyDescent="0.3">
      <c r="A495" s="6" t="s">
        <v>1802</v>
      </c>
      <c r="B495" s="6" t="s">
        <v>1803</v>
      </c>
      <c r="C495" s="6" t="s">
        <v>1804</v>
      </c>
      <c r="D495" s="6" t="s">
        <v>1805</v>
      </c>
      <c r="F495" s="13" t="s">
        <v>1801</v>
      </c>
      <c r="G495" s="8">
        <v>494</v>
      </c>
      <c r="H495" s="9" t="s">
        <v>21</v>
      </c>
      <c r="I495" s="9">
        <f t="shared" si="29"/>
        <v>90</v>
      </c>
      <c r="J495" s="9">
        <f t="shared" si="28"/>
        <v>4</v>
      </c>
      <c r="K495" s="10" t="str">
        <f t="shared" si="32"/>
        <v>S1R90B4</v>
      </c>
      <c r="L495" s="10" t="s">
        <v>22</v>
      </c>
      <c r="M495" s="10">
        <f>IF(Table1[[#This Row],[ID ROW]]&lt;=12,Table1[[#This Row],[ID ROW]],Table1[[#This Row],[ID ROW]]+INT((Table1[[#This Row],[ID ROW]]-1)/12)*2)</f>
        <v>104</v>
      </c>
      <c r="N495" s="10" t="str">
        <f t="shared" si="31"/>
        <v>RSR104B4</v>
      </c>
      <c r="O495" s="10">
        <f>IF(Table1[[#This Row],[ID ROW]]&lt;=12,1,INT((Table1[[#This Row],[ID ROW]]-1)/12)+1)</f>
        <v>8</v>
      </c>
      <c r="P495" s="10">
        <f>Table1[[#This Row],[ID ROW]]-((Table1[[#This Row],[SECT]]-1)*12)</f>
        <v>6</v>
      </c>
    </row>
    <row r="496" spans="1:16" ht="15.75" customHeight="1" x14ac:dyDescent="0.25">
      <c r="A496" s="6" t="s">
        <v>1806</v>
      </c>
      <c r="B496" s="6" t="s">
        <v>1807</v>
      </c>
      <c r="C496" s="6" t="s">
        <v>1808</v>
      </c>
      <c r="F496" s="7" t="s">
        <v>1809</v>
      </c>
      <c r="G496" s="8">
        <v>495</v>
      </c>
      <c r="H496" s="9" t="s">
        <v>21</v>
      </c>
      <c r="I496" s="9">
        <f t="shared" si="29"/>
        <v>90</v>
      </c>
      <c r="J496" s="9">
        <f t="shared" si="28"/>
        <v>5</v>
      </c>
      <c r="K496" s="10" t="str">
        <f t="shared" si="32"/>
        <v>S1R90B5</v>
      </c>
      <c r="L496" s="10" t="s">
        <v>22</v>
      </c>
      <c r="M496" s="10">
        <f>IF(Table1[[#This Row],[ID ROW]]&lt;=12,Table1[[#This Row],[ID ROW]],Table1[[#This Row],[ID ROW]]+INT((Table1[[#This Row],[ID ROW]]-1)/12)*2)</f>
        <v>104</v>
      </c>
      <c r="N496" s="10" t="str">
        <f t="shared" si="31"/>
        <v>RSR104B5</v>
      </c>
      <c r="O496" s="10">
        <f>IF(Table1[[#This Row],[ID ROW]]&lt;=12,1,INT((Table1[[#This Row],[ID ROW]]-1)/12)+1)</f>
        <v>8</v>
      </c>
      <c r="P496" s="10">
        <f>Table1[[#This Row],[ID ROW]]-((Table1[[#This Row],[SECT]]-1)*12)</f>
        <v>6</v>
      </c>
    </row>
    <row r="497" spans="1:16" ht="15.75" customHeight="1" x14ac:dyDescent="0.3">
      <c r="A497" s="6" t="s">
        <v>1810</v>
      </c>
      <c r="B497" s="6" t="s">
        <v>1811</v>
      </c>
      <c r="C497" s="6" t="s">
        <v>1812</v>
      </c>
      <c r="F497" s="13" t="s">
        <v>1813</v>
      </c>
      <c r="G497" s="8">
        <v>496</v>
      </c>
      <c r="H497" s="9" t="s">
        <v>21</v>
      </c>
      <c r="I497" s="9">
        <f t="shared" si="29"/>
        <v>91</v>
      </c>
      <c r="J497" s="9">
        <f t="shared" si="28"/>
        <v>1</v>
      </c>
      <c r="K497" s="10" t="str">
        <f t="shared" si="32"/>
        <v>S1R91B1</v>
      </c>
      <c r="L497" s="10" t="s">
        <v>22</v>
      </c>
      <c r="M497" s="10">
        <f>IF(Table1[[#This Row],[ID ROW]]&lt;=12,Table1[[#This Row],[ID ROW]],Table1[[#This Row],[ID ROW]]+INT((Table1[[#This Row],[ID ROW]]-1)/12)*2)</f>
        <v>105</v>
      </c>
      <c r="N497" s="10" t="str">
        <f t="shared" si="31"/>
        <v>RSR105B1</v>
      </c>
      <c r="O497" s="10">
        <f>IF(Table1[[#This Row],[ID ROW]]&lt;=12,1,INT((Table1[[#This Row],[ID ROW]]-1)/12)+1)</f>
        <v>8</v>
      </c>
      <c r="P497" s="10">
        <f>Table1[[#This Row],[ID ROW]]-((Table1[[#This Row],[SECT]]-1)*12)</f>
        <v>7</v>
      </c>
    </row>
    <row r="498" spans="1:16" ht="15.75" customHeight="1" x14ac:dyDescent="0.25">
      <c r="A498" s="6" t="s">
        <v>1814</v>
      </c>
      <c r="B498" s="6" t="s">
        <v>1815</v>
      </c>
      <c r="C498" s="6" t="s">
        <v>1816</v>
      </c>
      <c r="D498" s="6" t="s">
        <v>1817</v>
      </c>
      <c r="F498" s="7" t="s">
        <v>1638</v>
      </c>
      <c r="G498" s="8">
        <v>497</v>
      </c>
      <c r="H498" s="9" t="s">
        <v>21</v>
      </c>
      <c r="I498" s="9">
        <f t="shared" si="29"/>
        <v>91</v>
      </c>
      <c r="J498" s="9">
        <f t="shared" si="28"/>
        <v>2</v>
      </c>
      <c r="K498" s="10" t="str">
        <f t="shared" si="32"/>
        <v>S1R91B2</v>
      </c>
      <c r="L498" s="10" t="s">
        <v>22</v>
      </c>
      <c r="M498" s="10">
        <f>IF(Table1[[#This Row],[ID ROW]]&lt;=12,Table1[[#This Row],[ID ROW]],Table1[[#This Row],[ID ROW]]+INT((Table1[[#This Row],[ID ROW]]-1)/12)*2)</f>
        <v>105</v>
      </c>
      <c r="N498" s="10" t="str">
        <f t="shared" si="31"/>
        <v>RSR105B2</v>
      </c>
      <c r="O498" s="10">
        <f>IF(Table1[[#This Row],[ID ROW]]&lt;=12,1,INT((Table1[[#This Row],[ID ROW]]-1)/12)+1)</f>
        <v>8</v>
      </c>
      <c r="P498" s="10">
        <f>Table1[[#This Row],[ID ROW]]-((Table1[[#This Row],[SECT]]-1)*12)</f>
        <v>7</v>
      </c>
    </row>
    <row r="499" spans="1:16" ht="15.75" customHeight="1" x14ac:dyDescent="0.3">
      <c r="A499" s="6" t="s">
        <v>1818</v>
      </c>
      <c r="B499" s="6" t="s">
        <v>1819</v>
      </c>
      <c r="C499" s="6" t="s">
        <v>67</v>
      </c>
      <c r="D499" s="6" t="s">
        <v>1820</v>
      </c>
      <c r="F499" s="13" t="s">
        <v>1821</v>
      </c>
      <c r="G499" s="8">
        <v>498</v>
      </c>
      <c r="H499" s="9" t="s">
        <v>21</v>
      </c>
      <c r="I499" s="9">
        <f t="shared" si="29"/>
        <v>91</v>
      </c>
      <c r="J499" s="9">
        <f t="shared" si="28"/>
        <v>3</v>
      </c>
      <c r="K499" s="10" t="str">
        <f t="shared" si="32"/>
        <v>S1R91B3</v>
      </c>
      <c r="L499" s="10" t="s">
        <v>22</v>
      </c>
      <c r="M499" s="10">
        <f>IF(Table1[[#This Row],[ID ROW]]&lt;=12,Table1[[#This Row],[ID ROW]],Table1[[#This Row],[ID ROW]]+INT((Table1[[#This Row],[ID ROW]]-1)/12)*2)</f>
        <v>105</v>
      </c>
      <c r="N499" s="10" t="str">
        <f t="shared" si="31"/>
        <v>RSR105B3</v>
      </c>
      <c r="O499" s="10">
        <f>IF(Table1[[#This Row],[ID ROW]]&lt;=12,1,INT((Table1[[#This Row],[ID ROW]]-1)/12)+1)</f>
        <v>8</v>
      </c>
      <c r="P499" s="10">
        <f>Table1[[#This Row],[ID ROW]]-((Table1[[#This Row],[SECT]]-1)*12)</f>
        <v>7</v>
      </c>
    </row>
    <row r="500" spans="1:16" ht="15.75" customHeight="1" x14ac:dyDescent="0.25">
      <c r="A500" s="6" t="s">
        <v>1822</v>
      </c>
      <c r="B500" s="6" t="s">
        <v>1823</v>
      </c>
      <c r="C500" s="6" t="s">
        <v>1824</v>
      </c>
      <c r="D500" s="6" t="s">
        <v>1825</v>
      </c>
      <c r="F500" s="7" t="s">
        <v>1826</v>
      </c>
      <c r="G500" s="8">
        <v>499</v>
      </c>
      <c r="H500" s="9" t="s">
        <v>21</v>
      </c>
      <c r="I500" s="9">
        <f t="shared" si="29"/>
        <v>91</v>
      </c>
      <c r="J500" s="9">
        <f t="shared" si="28"/>
        <v>4</v>
      </c>
      <c r="K500" s="10" t="str">
        <f t="shared" si="32"/>
        <v>S1R91B4</v>
      </c>
      <c r="L500" s="10" t="s">
        <v>22</v>
      </c>
      <c r="M500" s="10">
        <f>IF(Table1[[#This Row],[ID ROW]]&lt;=12,Table1[[#This Row],[ID ROW]],Table1[[#This Row],[ID ROW]]+INT((Table1[[#This Row],[ID ROW]]-1)/12)*2)</f>
        <v>105</v>
      </c>
      <c r="N500" s="10" t="str">
        <f t="shared" si="31"/>
        <v>RSR105B4</v>
      </c>
      <c r="O500" s="10">
        <f>IF(Table1[[#This Row],[ID ROW]]&lt;=12,1,INT((Table1[[#This Row],[ID ROW]]-1)/12)+1)</f>
        <v>8</v>
      </c>
      <c r="P500" s="10">
        <f>Table1[[#This Row],[ID ROW]]-((Table1[[#This Row],[SECT]]-1)*12)</f>
        <v>7</v>
      </c>
    </row>
    <row r="501" spans="1:16" ht="15.75" customHeight="1" x14ac:dyDescent="0.3">
      <c r="A501" s="6" t="s">
        <v>1827</v>
      </c>
      <c r="B501" s="6" t="s">
        <v>1828</v>
      </c>
      <c r="C501" s="6" t="s">
        <v>1771</v>
      </c>
      <c r="D501" s="6" t="s">
        <v>1829</v>
      </c>
      <c r="F501" s="13" t="s">
        <v>1830</v>
      </c>
      <c r="G501" s="8">
        <v>500</v>
      </c>
      <c r="H501" s="9" t="s">
        <v>21</v>
      </c>
      <c r="I501" s="9">
        <f t="shared" si="29"/>
        <v>91</v>
      </c>
      <c r="J501" s="9">
        <f t="shared" si="28"/>
        <v>5</v>
      </c>
      <c r="K501" s="10" t="str">
        <f t="shared" si="32"/>
        <v>S1R91B5</v>
      </c>
      <c r="L501" s="10" t="s">
        <v>22</v>
      </c>
      <c r="M501" s="10">
        <f>IF(Table1[[#This Row],[ID ROW]]&lt;=12,Table1[[#This Row],[ID ROW]],Table1[[#This Row],[ID ROW]]+INT((Table1[[#This Row],[ID ROW]]-1)/12)*2)</f>
        <v>105</v>
      </c>
      <c r="N501" s="10" t="str">
        <f t="shared" si="31"/>
        <v>RSR105B5</v>
      </c>
      <c r="O501" s="10">
        <f>IF(Table1[[#This Row],[ID ROW]]&lt;=12,1,INT((Table1[[#This Row],[ID ROW]]-1)/12)+1)</f>
        <v>8</v>
      </c>
      <c r="P501" s="10">
        <f>Table1[[#This Row],[ID ROW]]-((Table1[[#This Row],[SECT]]-1)*12)</f>
        <v>7</v>
      </c>
    </row>
    <row r="502" spans="1:16" ht="15.75" customHeight="1" x14ac:dyDescent="0.25">
      <c r="A502" s="6" t="s">
        <v>1831</v>
      </c>
      <c r="B502" s="6" t="s">
        <v>1832</v>
      </c>
      <c r="C502" s="6" t="s">
        <v>1833</v>
      </c>
      <c r="D502" s="6" t="s">
        <v>141</v>
      </c>
      <c r="F502" s="7"/>
      <c r="G502" s="8">
        <v>501</v>
      </c>
      <c r="H502" s="9" t="s">
        <v>21</v>
      </c>
      <c r="I502" s="9">
        <f t="shared" si="29"/>
        <v>91</v>
      </c>
      <c r="J502" s="9">
        <f t="shared" si="28"/>
        <v>6</v>
      </c>
      <c r="K502" s="10" t="str">
        <f t="shared" si="32"/>
        <v>S1R91B6</v>
      </c>
      <c r="L502" s="10" t="s">
        <v>22</v>
      </c>
      <c r="M502" s="10">
        <f>IF(Table1[[#This Row],[ID ROW]]&lt;=12,Table1[[#This Row],[ID ROW]],Table1[[#This Row],[ID ROW]]+INT((Table1[[#This Row],[ID ROW]]-1)/12)*2)</f>
        <v>105</v>
      </c>
      <c r="N502" s="10" t="str">
        <f t="shared" si="31"/>
        <v>RSR105B6</v>
      </c>
      <c r="O502" s="10">
        <f>IF(Table1[[#This Row],[ID ROW]]&lt;=12,1,INT((Table1[[#This Row],[ID ROW]]-1)/12)+1)</f>
        <v>8</v>
      </c>
      <c r="P502" s="10">
        <f>Table1[[#This Row],[ID ROW]]-((Table1[[#This Row],[SECT]]-1)*12)</f>
        <v>7</v>
      </c>
    </row>
    <row r="503" spans="1:16" ht="15.75" customHeight="1" x14ac:dyDescent="0.3">
      <c r="A503" s="6" t="s">
        <v>1834</v>
      </c>
      <c r="B503" s="6" t="s">
        <v>1835</v>
      </c>
      <c r="C503" s="6" t="s">
        <v>296</v>
      </c>
      <c r="F503" s="13"/>
      <c r="G503" s="8">
        <v>502</v>
      </c>
      <c r="H503" s="9" t="s">
        <v>21</v>
      </c>
      <c r="I503" s="9">
        <f t="shared" si="29"/>
        <v>92</v>
      </c>
      <c r="J503" s="9">
        <f t="shared" si="28"/>
        <v>1</v>
      </c>
      <c r="K503" s="10" t="str">
        <f t="shared" si="32"/>
        <v>S1R92B1</v>
      </c>
      <c r="L503" s="10" t="s">
        <v>22</v>
      </c>
      <c r="M503" s="10">
        <f>IF(Table1[[#This Row],[ID ROW]]&lt;=12,Table1[[#This Row],[ID ROW]],Table1[[#This Row],[ID ROW]]+INT((Table1[[#This Row],[ID ROW]]-1)/12)*2)</f>
        <v>106</v>
      </c>
      <c r="N503" s="10" t="str">
        <f t="shared" si="31"/>
        <v>RSR106B1</v>
      </c>
      <c r="O503" s="10">
        <f>IF(Table1[[#This Row],[ID ROW]]&lt;=12,1,INT((Table1[[#This Row],[ID ROW]]-1)/12)+1)</f>
        <v>8</v>
      </c>
      <c r="P503" s="10">
        <f>Table1[[#This Row],[ID ROW]]-((Table1[[#This Row],[SECT]]-1)*12)</f>
        <v>8</v>
      </c>
    </row>
    <row r="504" spans="1:16" ht="15.75" customHeight="1" x14ac:dyDescent="0.25">
      <c r="A504" s="6" t="s">
        <v>1836</v>
      </c>
      <c r="B504" s="6" t="s">
        <v>1837</v>
      </c>
      <c r="C504" s="6" t="s">
        <v>1838</v>
      </c>
      <c r="D504" s="6" t="s">
        <v>1839</v>
      </c>
      <c r="F504" s="7"/>
      <c r="G504" s="8">
        <v>503</v>
      </c>
      <c r="H504" s="9" t="s">
        <v>21</v>
      </c>
      <c r="I504" s="9">
        <f t="shared" si="29"/>
        <v>92</v>
      </c>
      <c r="J504" s="9">
        <f t="shared" si="28"/>
        <v>2</v>
      </c>
      <c r="K504" s="10" t="str">
        <f t="shared" si="32"/>
        <v>S1R92B2</v>
      </c>
      <c r="L504" s="10" t="s">
        <v>22</v>
      </c>
      <c r="M504" s="10">
        <f>IF(Table1[[#This Row],[ID ROW]]&lt;=12,Table1[[#This Row],[ID ROW]],Table1[[#This Row],[ID ROW]]+INT((Table1[[#This Row],[ID ROW]]-1)/12)*2)</f>
        <v>106</v>
      </c>
      <c r="N504" s="10" t="str">
        <f t="shared" si="31"/>
        <v>RSR106B2</v>
      </c>
      <c r="O504" s="10">
        <f>IF(Table1[[#This Row],[ID ROW]]&lt;=12,1,INT((Table1[[#This Row],[ID ROW]]-1)/12)+1)</f>
        <v>8</v>
      </c>
      <c r="P504" s="10">
        <f>Table1[[#This Row],[ID ROW]]-((Table1[[#This Row],[SECT]]-1)*12)</f>
        <v>8</v>
      </c>
    </row>
    <row r="505" spans="1:16" ht="15.75" customHeight="1" x14ac:dyDescent="0.3">
      <c r="A505" s="6" t="s">
        <v>979</v>
      </c>
      <c r="B505" s="6" t="s">
        <v>1840</v>
      </c>
      <c r="C505" s="6" t="s">
        <v>1841</v>
      </c>
      <c r="D505" s="6" t="s">
        <v>1842</v>
      </c>
      <c r="F505" s="13"/>
      <c r="G505" s="8">
        <v>504</v>
      </c>
      <c r="H505" s="9" t="s">
        <v>21</v>
      </c>
      <c r="I505" s="9">
        <f t="shared" si="29"/>
        <v>92</v>
      </c>
      <c r="J505" s="9">
        <f t="shared" si="28"/>
        <v>3</v>
      </c>
      <c r="K505" s="10" t="str">
        <f t="shared" si="32"/>
        <v>S1R92B3</v>
      </c>
      <c r="L505" s="10" t="s">
        <v>22</v>
      </c>
      <c r="M505" s="10">
        <f>IF(Table1[[#This Row],[ID ROW]]&lt;=12,Table1[[#This Row],[ID ROW]],Table1[[#This Row],[ID ROW]]+INT((Table1[[#This Row],[ID ROW]]-1)/12)*2)</f>
        <v>106</v>
      </c>
      <c r="N505" s="10" t="str">
        <f t="shared" si="31"/>
        <v>RSR106B3</v>
      </c>
      <c r="O505" s="10">
        <f>IF(Table1[[#This Row],[ID ROW]]&lt;=12,1,INT((Table1[[#This Row],[ID ROW]]-1)/12)+1)</f>
        <v>8</v>
      </c>
      <c r="P505" s="10">
        <f>Table1[[#This Row],[ID ROW]]-((Table1[[#This Row],[SECT]]-1)*12)</f>
        <v>8</v>
      </c>
    </row>
    <row r="506" spans="1:16" ht="15.75" customHeight="1" x14ac:dyDescent="0.25">
      <c r="A506" s="6" t="s">
        <v>1843</v>
      </c>
      <c r="B506" s="6" t="s">
        <v>67</v>
      </c>
      <c r="C506" s="6" t="s">
        <v>1844</v>
      </c>
      <c r="D506" s="6" t="s">
        <v>1845</v>
      </c>
      <c r="F506" s="7"/>
      <c r="G506" s="8">
        <v>505</v>
      </c>
      <c r="H506" s="9" t="s">
        <v>21</v>
      </c>
      <c r="I506" s="9">
        <f t="shared" si="29"/>
        <v>92</v>
      </c>
      <c r="J506" s="9">
        <f t="shared" si="28"/>
        <v>4</v>
      </c>
      <c r="K506" s="10" t="str">
        <f t="shared" si="32"/>
        <v>S1R92B4</v>
      </c>
      <c r="L506" s="10" t="s">
        <v>22</v>
      </c>
      <c r="M506" s="10">
        <f>IF(Table1[[#This Row],[ID ROW]]&lt;=12,Table1[[#This Row],[ID ROW]],Table1[[#This Row],[ID ROW]]+INT((Table1[[#This Row],[ID ROW]]-1)/12)*2)</f>
        <v>106</v>
      </c>
      <c r="N506" s="10" t="str">
        <f t="shared" si="31"/>
        <v>RSR106B4</v>
      </c>
      <c r="O506" s="10">
        <f>IF(Table1[[#This Row],[ID ROW]]&lt;=12,1,INT((Table1[[#This Row],[ID ROW]]-1)/12)+1)</f>
        <v>8</v>
      </c>
      <c r="P506" s="10">
        <f>Table1[[#This Row],[ID ROW]]-((Table1[[#This Row],[SECT]]-1)*12)</f>
        <v>8</v>
      </c>
    </row>
    <row r="507" spans="1:16" ht="15.75" customHeight="1" x14ac:dyDescent="0.3">
      <c r="A507" s="6" t="s">
        <v>1846</v>
      </c>
      <c r="B507" s="6" t="s">
        <v>1847</v>
      </c>
      <c r="C507" s="6" t="s">
        <v>1848</v>
      </c>
      <c r="D507" s="6" t="s">
        <v>1849</v>
      </c>
      <c r="F507" s="13"/>
      <c r="G507" s="8">
        <v>506</v>
      </c>
      <c r="H507" s="9" t="s">
        <v>21</v>
      </c>
      <c r="I507" s="9">
        <f t="shared" si="29"/>
        <v>92</v>
      </c>
      <c r="J507" s="9">
        <f t="shared" si="28"/>
        <v>5</v>
      </c>
      <c r="K507" s="10" t="str">
        <f t="shared" si="32"/>
        <v>S1R92B5</v>
      </c>
      <c r="L507" s="10" t="s">
        <v>22</v>
      </c>
      <c r="M507" s="10">
        <f>IF(Table1[[#This Row],[ID ROW]]&lt;=12,Table1[[#This Row],[ID ROW]],Table1[[#This Row],[ID ROW]]+INT((Table1[[#This Row],[ID ROW]]-1)/12)*2)</f>
        <v>106</v>
      </c>
      <c r="N507" s="10" t="str">
        <f t="shared" si="31"/>
        <v>RSR106B5</v>
      </c>
      <c r="O507" s="10">
        <f>IF(Table1[[#This Row],[ID ROW]]&lt;=12,1,INT((Table1[[#This Row],[ID ROW]]-1)/12)+1)</f>
        <v>8</v>
      </c>
      <c r="P507" s="10">
        <f>Table1[[#This Row],[ID ROW]]-((Table1[[#This Row],[SECT]]-1)*12)</f>
        <v>8</v>
      </c>
    </row>
    <row r="508" spans="1:16" ht="15.75" customHeight="1" x14ac:dyDescent="0.25">
      <c r="A508" s="6" t="s">
        <v>1850</v>
      </c>
      <c r="B508" s="6" t="s">
        <v>1851</v>
      </c>
      <c r="C508" s="6" t="s">
        <v>1852</v>
      </c>
      <c r="D508" s="6" t="s">
        <v>1853</v>
      </c>
      <c r="F508" s="7"/>
      <c r="G508" s="8">
        <v>507</v>
      </c>
      <c r="H508" s="9" t="s">
        <v>21</v>
      </c>
      <c r="I508" s="9">
        <f t="shared" si="29"/>
        <v>93</v>
      </c>
      <c r="J508" s="9">
        <f t="shared" si="28"/>
        <v>1</v>
      </c>
      <c r="K508" s="10" t="str">
        <f t="shared" si="32"/>
        <v>S1R93B1</v>
      </c>
      <c r="L508" s="10" t="s">
        <v>22</v>
      </c>
      <c r="M508" s="10">
        <f>IF(Table1[[#This Row],[ID ROW]]&lt;=12,Table1[[#This Row],[ID ROW]],Table1[[#This Row],[ID ROW]]+INT((Table1[[#This Row],[ID ROW]]-1)/12)*2)</f>
        <v>107</v>
      </c>
      <c r="N508" s="10" t="str">
        <f t="shared" si="31"/>
        <v>RSR107B1</v>
      </c>
      <c r="O508" s="10">
        <f>IF(Table1[[#This Row],[ID ROW]]&lt;=12,1,INT((Table1[[#This Row],[ID ROW]]-1)/12)+1)</f>
        <v>8</v>
      </c>
      <c r="P508" s="10">
        <f>Table1[[#This Row],[ID ROW]]-((Table1[[#This Row],[SECT]]-1)*12)</f>
        <v>9</v>
      </c>
    </row>
    <row r="509" spans="1:16" ht="15.75" customHeight="1" x14ac:dyDescent="0.3">
      <c r="A509" s="6" t="s">
        <v>1854</v>
      </c>
      <c r="B509" s="6" t="s">
        <v>232</v>
      </c>
      <c r="C509" s="6" t="s">
        <v>143</v>
      </c>
      <c r="D509" s="6" t="s">
        <v>1855</v>
      </c>
      <c r="F509" s="13"/>
      <c r="G509" s="8">
        <v>508</v>
      </c>
      <c r="H509" s="9" t="s">
        <v>21</v>
      </c>
      <c r="I509" s="9">
        <f t="shared" si="29"/>
        <v>93</v>
      </c>
      <c r="J509" s="9">
        <f t="shared" si="28"/>
        <v>2</v>
      </c>
      <c r="K509" s="10" t="str">
        <f t="shared" si="32"/>
        <v>S1R93B2</v>
      </c>
      <c r="L509" s="10" t="s">
        <v>22</v>
      </c>
      <c r="M509" s="10">
        <f>IF(Table1[[#This Row],[ID ROW]]&lt;=12,Table1[[#This Row],[ID ROW]],Table1[[#This Row],[ID ROW]]+INT((Table1[[#This Row],[ID ROW]]-1)/12)*2)</f>
        <v>107</v>
      </c>
      <c r="N509" s="10" t="str">
        <f t="shared" si="31"/>
        <v>RSR107B2</v>
      </c>
      <c r="O509" s="10">
        <f>IF(Table1[[#This Row],[ID ROW]]&lt;=12,1,INT((Table1[[#This Row],[ID ROW]]-1)/12)+1)</f>
        <v>8</v>
      </c>
      <c r="P509" s="10">
        <f>Table1[[#This Row],[ID ROW]]-((Table1[[#This Row],[SECT]]-1)*12)</f>
        <v>9</v>
      </c>
    </row>
    <row r="510" spans="1:16" ht="15.75" customHeight="1" x14ac:dyDescent="0.25">
      <c r="A510" s="6" t="s">
        <v>1856</v>
      </c>
      <c r="B510" s="6" t="s">
        <v>1857</v>
      </c>
      <c r="C510" s="6" t="s">
        <v>143</v>
      </c>
      <c r="D510" s="6" t="s">
        <v>1858</v>
      </c>
      <c r="F510" s="7"/>
      <c r="G510" s="8">
        <v>509</v>
      </c>
      <c r="H510" s="9" t="s">
        <v>21</v>
      </c>
      <c r="I510" s="9">
        <f t="shared" si="29"/>
        <v>93</v>
      </c>
      <c r="J510" s="9">
        <f t="shared" si="28"/>
        <v>3</v>
      </c>
      <c r="K510" s="10" t="str">
        <f t="shared" si="32"/>
        <v>S1R93B3</v>
      </c>
      <c r="L510" s="10" t="s">
        <v>22</v>
      </c>
      <c r="M510" s="10">
        <f>IF(Table1[[#This Row],[ID ROW]]&lt;=12,Table1[[#This Row],[ID ROW]],Table1[[#This Row],[ID ROW]]+INT((Table1[[#This Row],[ID ROW]]-1)/12)*2)</f>
        <v>107</v>
      </c>
      <c r="N510" s="10" t="str">
        <f t="shared" si="31"/>
        <v>RSR107B3</v>
      </c>
      <c r="O510" s="10">
        <f>IF(Table1[[#This Row],[ID ROW]]&lt;=12,1,INT((Table1[[#This Row],[ID ROW]]-1)/12)+1)</f>
        <v>8</v>
      </c>
      <c r="P510" s="10">
        <f>Table1[[#This Row],[ID ROW]]-((Table1[[#This Row],[SECT]]-1)*12)</f>
        <v>9</v>
      </c>
    </row>
    <row r="511" spans="1:16" ht="15.75" customHeight="1" x14ac:dyDescent="0.3">
      <c r="A511" s="6" t="s">
        <v>1859</v>
      </c>
      <c r="B511" s="6" t="s">
        <v>1860</v>
      </c>
      <c r="C511" s="6" t="s">
        <v>1861</v>
      </c>
      <c r="D511" s="6" t="s">
        <v>1862</v>
      </c>
      <c r="F511" s="13"/>
      <c r="G511" s="8">
        <v>510</v>
      </c>
      <c r="H511" s="9" t="s">
        <v>21</v>
      </c>
      <c r="I511" s="9">
        <f t="shared" si="29"/>
        <v>93</v>
      </c>
      <c r="J511" s="9">
        <f t="shared" si="28"/>
        <v>4</v>
      </c>
      <c r="K511" s="10" t="str">
        <f t="shared" si="32"/>
        <v>S1R93B4</v>
      </c>
      <c r="L511" s="10" t="s">
        <v>22</v>
      </c>
      <c r="M511" s="10">
        <f>IF(Table1[[#This Row],[ID ROW]]&lt;=12,Table1[[#This Row],[ID ROW]],Table1[[#This Row],[ID ROW]]+INT((Table1[[#This Row],[ID ROW]]-1)/12)*2)</f>
        <v>107</v>
      </c>
      <c r="N511" s="10" t="str">
        <f t="shared" si="31"/>
        <v>RSR107B4</v>
      </c>
      <c r="O511" s="10">
        <f>IF(Table1[[#This Row],[ID ROW]]&lt;=12,1,INT((Table1[[#This Row],[ID ROW]]-1)/12)+1)</f>
        <v>8</v>
      </c>
      <c r="P511" s="10">
        <f>Table1[[#This Row],[ID ROW]]-((Table1[[#This Row],[SECT]]-1)*12)</f>
        <v>9</v>
      </c>
    </row>
    <row r="512" spans="1:16" ht="15.75" customHeight="1" x14ac:dyDescent="0.25">
      <c r="A512" s="6" t="s">
        <v>1863</v>
      </c>
      <c r="B512" s="6" t="s">
        <v>1864</v>
      </c>
      <c r="C512" s="6" t="s">
        <v>1865</v>
      </c>
      <c r="D512" s="6" t="s">
        <v>1015</v>
      </c>
      <c r="F512" s="7"/>
      <c r="G512" s="8">
        <v>511</v>
      </c>
      <c r="H512" s="9" t="s">
        <v>21</v>
      </c>
      <c r="I512" s="9">
        <f t="shared" si="29"/>
        <v>93</v>
      </c>
      <c r="J512" s="9">
        <f t="shared" si="28"/>
        <v>5</v>
      </c>
      <c r="K512" s="10" t="str">
        <f t="shared" si="32"/>
        <v>S1R93B5</v>
      </c>
      <c r="L512" s="10" t="s">
        <v>22</v>
      </c>
      <c r="M512" s="10">
        <f>IF(Table1[[#This Row],[ID ROW]]&lt;=12,Table1[[#This Row],[ID ROW]],Table1[[#This Row],[ID ROW]]+INT((Table1[[#This Row],[ID ROW]]-1)/12)*2)</f>
        <v>107</v>
      </c>
      <c r="N512" s="10" t="str">
        <f t="shared" si="31"/>
        <v>RSR107B5</v>
      </c>
      <c r="O512" s="10">
        <f>IF(Table1[[#This Row],[ID ROW]]&lt;=12,1,INT((Table1[[#This Row],[ID ROW]]-1)/12)+1)</f>
        <v>8</v>
      </c>
      <c r="P512" s="10">
        <f>Table1[[#This Row],[ID ROW]]-((Table1[[#This Row],[SECT]]-1)*12)</f>
        <v>9</v>
      </c>
    </row>
    <row r="513" spans="1:16" ht="15.75" customHeight="1" x14ac:dyDescent="0.25">
      <c r="A513" s="6" t="s">
        <v>1866</v>
      </c>
      <c r="B513" s="6" t="s">
        <v>1867</v>
      </c>
      <c r="C513" s="6" t="s">
        <v>1868</v>
      </c>
      <c r="D513" s="6" t="s">
        <v>1869</v>
      </c>
      <c r="F513" s="7"/>
      <c r="G513" s="8">
        <v>515</v>
      </c>
      <c r="H513" s="9" t="s">
        <v>21</v>
      </c>
      <c r="I513" s="9">
        <f t="shared" si="29"/>
        <v>94</v>
      </c>
      <c r="J513" s="9">
        <f t="shared" si="28"/>
        <v>3</v>
      </c>
      <c r="K513" s="10" t="str">
        <f t="shared" si="32"/>
        <v>S1R94B3</v>
      </c>
      <c r="L513" s="10" t="s">
        <v>22</v>
      </c>
      <c r="M513" s="10">
        <f>IF(Table1[[#This Row],[ID ROW]]&lt;=12,Table1[[#This Row],[ID ROW]],Table1[[#This Row],[ID ROW]]+INT((Table1[[#This Row],[ID ROW]]-1)/12)*2)</f>
        <v>108</v>
      </c>
      <c r="N513" s="10" t="str">
        <f t="shared" si="31"/>
        <v>RSR108B3</v>
      </c>
      <c r="O513" s="10">
        <f>IF(Table1[[#This Row],[ID ROW]]&lt;=12,1,INT((Table1[[#This Row],[ID ROW]]-1)/12)+1)</f>
        <v>8</v>
      </c>
      <c r="P513" s="10">
        <f>Table1[[#This Row],[ID ROW]]-((Table1[[#This Row],[SECT]]-1)*12)</f>
        <v>10</v>
      </c>
    </row>
    <row r="514" spans="1:16" ht="15.75" customHeight="1" x14ac:dyDescent="0.3">
      <c r="A514" s="6" t="s">
        <v>1870</v>
      </c>
      <c r="B514" s="6" t="s">
        <v>1847</v>
      </c>
      <c r="F514" s="13"/>
      <c r="G514" s="8">
        <v>516</v>
      </c>
      <c r="H514" s="9" t="s">
        <v>21</v>
      </c>
      <c r="I514" s="9">
        <f t="shared" si="29"/>
        <v>94</v>
      </c>
      <c r="J514" s="9">
        <f t="shared" si="28"/>
        <v>4</v>
      </c>
      <c r="K514" s="10" t="str">
        <f t="shared" si="32"/>
        <v>S1R94B4</v>
      </c>
      <c r="L514" s="10" t="s">
        <v>22</v>
      </c>
      <c r="M514" s="10">
        <f>IF(Table1[[#This Row],[ID ROW]]&lt;=12,Table1[[#This Row],[ID ROW]],Table1[[#This Row],[ID ROW]]+INT((Table1[[#This Row],[ID ROW]]-1)/12)*2)</f>
        <v>108</v>
      </c>
      <c r="N514" s="10" t="str">
        <f t="shared" si="31"/>
        <v>RSR108B4</v>
      </c>
      <c r="O514" s="10">
        <f>IF(Table1[[#This Row],[ID ROW]]&lt;=12,1,INT((Table1[[#This Row],[ID ROW]]-1)/12)+1)</f>
        <v>8</v>
      </c>
      <c r="P514" s="10">
        <f>Table1[[#This Row],[ID ROW]]-((Table1[[#This Row],[SECT]]-1)*12)</f>
        <v>10</v>
      </c>
    </row>
    <row r="515" spans="1:16" ht="15.75" customHeight="1" x14ac:dyDescent="0.25">
      <c r="A515" s="6" t="s">
        <v>165</v>
      </c>
      <c r="B515" s="6" t="s">
        <v>1871</v>
      </c>
      <c r="C515" s="6" t="s">
        <v>1872</v>
      </c>
      <c r="D515" s="6" t="s">
        <v>1873</v>
      </c>
      <c r="F515" s="7"/>
      <c r="G515" s="8">
        <v>517</v>
      </c>
      <c r="H515" s="9" t="s">
        <v>21</v>
      </c>
      <c r="I515" s="9">
        <f t="shared" si="29"/>
        <v>94</v>
      </c>
      <c r="J515" s="9">
        <f t="shared" si="28"/>
        <v>5</v>
      </c>
      <c r="K515" s="10" t="str">
        <f t="shared" si="32"/>
        <v>S1R94B5</v>
      </c>
      <c r="L515" s="10" t="s">
        <v>22</v>
      </c>
      <c r="M515" s="10">
        <f>IF(Table1[[#This Row],[ID ROW]]&lt;=12,Table1[[#This Row],[ID ROW]],Table1[[#This Row],[ID ROW]]+INT((Table1[[#This Row],[ID ROW]]-1)/12)*2)</f>
        <v>108</v>
      </c>
      <c r="N515" s="10" t="str">
        <f t="shared" si="31"/>
        <v>RSR108B5</v>
      </c>
      <c r="O515" s="10">
        <f>IF(Table1[[#This Row],[ID ROW]]&lt;=12,1,INT((Table1[[#This Row],[ID ROW]]-1)/12)+1)</f>
        <v>8</v>
      </c>
      <c r="P515" s="10">
        <f>Table1[[#This Row],[ID ROW]]-((Table1[[#This Row],[SECT]]-1)*12)</f>
        <v>10</v>
      </c>
    </row>
    <row r="516" spans="1:16" ht="15.75" customHeight="1" x14ac:dyDescent="0.3">
      <c r="F516" s="13"/>
      <c r="G516" s="8">
        <v>528</v>
      </c>
      <c r="H516" s="9" t="s">
        <v>21</v>
      </c>
      <c r="I516" s="9">
        <f t="shared" si="29"/>
        <v>96</v>
      </c>
      <c r="J516" s="9">
        <f t="shared" si="28"/>
        <v>5</v>
      </c>
      <c r="K516" s="10" t="str">
        <f t="shared" si="32"/>
        <v>S1R96B5</v>
      </c>
      <c r="L516" s="10" t="s">
        <v>22</v>
      </c>
      <c r="M516" s="10">
        <f>IF(Table1[[#This Row],[ID ROW]]&lt;=12,Table1[[#This Row],[ID ROW]],Table1[[#This Row],[ID ROW]]+INT((Table1[[#This Row],[ID ROW]]-1)/12)*2)</f>
        <v>110</v>
      </c>
      <c r="N516" s="10" t="str">
        <f t="shared" si="31"/>
        <v>RSR110B5</v>
      </c>
      <c r="O516" s="10">
        <f>IF(Table1[[#This Row],[ID ROW]]&lt;=12,1,INT((Table1[[#This Row],[ID ROW]]-1)/12)+1)</f>
        <v>8</v>
      </c>
      <c r="P516" s="10">
        <f>Table1[[#This Row],[ID ROW]]-((Table1[[#This Row],[SECT]]-1)*12)</f>
        <v>12</v>
      </c>
    </row>
    <row r="517" spans="1:16" ht="15.75" customHeight="1" x14ac:dyDescent="0.25">
      <c r="A517" s="6" t="s">
        <v>1874</v>
      </c>
      <c r="B517" s="6" t="s">
        <v>1875</v>
      </c>
      <c r="C517" s="6" t="s">
        <v>1876</v>
      </c>
      <c r="D517" s="6" t="s">
        <v>1877</v>
      </c>
      <c r="F517" s="7" t="s">
        <v>1878</v>
      </c>
      <c r="G517" s="8">
        <v>529</v>
      </c>
      <c r="H517" s="9" t="s">
        <v>21</v>
      </c>
      <c r="I517" s="9">
        <f t="shared" si="29"/>
        <v>97</v>
      </c>
      <c r="J517" s="9">
        <f t="shared" si="28"/>
        <v>1</v>
      </c>
      <c r="K517" s="10" t="str">
        <f t="shared" si="32"/>
        <v>S1R97B1</v>
      </c>
      <c r="L517" s="10" t="s">
        <v>22</v>
      </c>
      <c r="M517" s="10">
        <f>IF(Table1[[#This Row],[ID ROW]]&lt;=12,Table1[[#This Row],[ID ROW]],Table1[[#This Row],[ID ROW]]+INT((Table1[[#This Row],[ID ROW]]-1)/12)*2)</f>
        <v>113</v>
      </c>
      <c r="N517" s="10" t="str">
        <f t="shared" si="31"/>
        <v>RSR113B1</v>
      </c>
      <c r="O517" s="10">
        <f>IF(Table1[[#This Row],[ID ROW]]&lt;=12,1,INT((Table1[[#This Row],[ID ROW]]-1)/12)+1)</f>
        <v>9</v>
      </c>
      <c r="P517" s="10">
        <f>Table1[[#This Row],[ID ROW]]-((Table1[[#This Row],[SECT]]-1)*12)</f>
        <v>1</v>
      </c>
    </row>
    <row r="518" spans="1:16" ht="15.75" customHeight="1" x14ac:dyDescent="0.3">
      <c r="A518" s="6" t="s">
        <v>1874</v>
      </c>
      <c r="B518" s="6" t="s">
        <v>1875</v>
      </c>
      <c r="C518" s="6" t="s">
        <v>1879</v>
      </c>
      <c r="D518" s="6" t="s">
        <v>1880</v>
      </c>
      <c r="F518" s="13" t="s">
        <v>1881</v>
      </c>
      <c r="G518" s="8">
        <v>530</v>
      </c>
      <c r="H518" s="9" t="s">
        <v>21</v>
      </c>
      <c r="I518" s="9">
        <f t="shared" si="29"/>
        <v>97</v>
      </c>
      <c r="J518" s="9">
        <f t="shared" si="28"/>
        <v>2</v>
      </c>
      <c r="K518" s="10" t="str">
        <f t="shared" si="32"/>
        <v>S1R97B2</v>
      </c>
      <c r="L518" s="10" t="s">
        <v>22</v>
      </c>
      <c r="M518" s="10">
        <f>IF(Table1[[#This Row],[ID ROW]]&lt;=12,Table1[[#This Row],[ID ROW]],Table1[[#This Row],[ID ROW]]+INT((Table1[[#This Row],[ID ROW]]-1)/12)*2)</f>
        <v>113</v>
      </c>
      <c r="N518" s="10" t="str">
        <f t="shared" si="31"/>
        <v>RSR113B2</v>
      </c>
      <c r="O518" s="10">
        <f>IF(Table1[[#This Row],[ID ROW]]&lt;=12,1,INT((Table1[[#This Row],[ID ROW]]-1)/12)+1)</f>
        <v>9</v>
      </c>
      <c r="P518" s="10">
        <f>Table1[[#This Row],[ID ROW]]-((Table1[[#This Row],[SECT]]-1)*12)</f>
        <v>1</v>
      </c>
    </row>
    <row r="519" spans="1:16" ht="15.75" customHeight="1" x14ac:dyDescent="0.25">
      <c r="A519" s="6" t="s">
        <v>1874</v>
      </c>
      <c r="B519" s="6" t="s">
        <v>1875</v>
      </c>
      <c r="C519" s="6" t="s">
        <v>1882</v>
      </c>
      <c r="D519" s="6" t="s">
        <v>1883</v>
      </c>
      <c r="F519" s="7" t="s">
        <v>1884</v>
      </c>
      <c r="G519" s="8">
        <v>531</v>
      </c>
      <c r="H519" s="9" t="s">
        <v>21</v>
      </c>
      <c r="I519" s="9">
        <f t="shared" si="29"/>
        <v>97</v>
      </c>
      <c r="J519" s="9">
        <f t="shared" si="28"/>
        <v>3</v>
      </c>
      <c r="K519" s="10" t="str">
        <f t="shared" si="32"/>
        <v>S1R97B3</v>
      </c>
      <c r="L519" s="10" t="s">
        <v>22</v>
      </c>
      <c r="M519" s="10">
        <f>IF(Table1[[#This Row],[ID ROW]]&lt;=12,Table1[[#This Row],[ID ROW]],Table1[[#This Row],[ID ROW]]+INT((Table1[[#This Row],[ID ROW]]-1)/12)*2)</f>
        <v>113</v>
      </c>
      <c r="N519" s="10" t="str">
        <f t="shared" si="31"/>
        <v>RSR113B3</v>
      </c>
      <c r="O519" s="10">
        <f>IF(Table1[[#This Row],[ID ROW]]&lt;=12,1,INT((Table1[[#This Row],[ID ROW]]-1)/12)+1)</f>
        <v>9</v>
      </c>
      <c r="P519" s="10">
        <f>Table1[[#This Row],[ID ROW]]-((Table1[[#This Row],[SECT]]-1)*12)</f>
        <v>1</v>
      </c>
    </row>
    <row r="520" spans="1:16" ht="15.75" customHeight="1" x14ac:dyDescent="0.3">
      <c r="A520" s="6" t="s">
        <v>1874</v>
      </c>
      <c r="B520" s="6" t="s">
        <v>1875</v>
      </c>
      <c r="C520" s="6" t="s">
        <v>1885</v>
      </c>
      <c r="D520" s="6" t="s">
        <v>1767</v>
      </c>
      <c r="F520" s="13" t="s">
        <v>1886</v>
      </c>
      <c r="G520" s="8">
        <v>532</v>
      </c>
      <c r="H520" s="9" t="s">
        <v>21</v>
      </c>
      <c r="I520" s="9">
        <f t="shared" si="29"/>
        <v>97</v>
      </c>
      <c r="J520" s="9">
        <f t="shared" si="28"/>
        <v>4</v>
      </c>
      <c r="K520" s="10" t="str">
        <f t="shared" si="32"/>
        <v>S1R97B4</v>
      </c>
      <c r="L520" s="10" t="s">
        <v>22</v>
      </c>
      <c r="M520" s="10">
        <f>IF(Table1[[#This Row],[ID ROW]]&lt;=12,Table1[[#This Row],[ID ROW]],Table1[[#This Row],[ID ROW]]+INT((Table1[[#This Row],[ID ROW]]-1)/12)*2)</f>
        <v>113</v>
      </c>
      <c r="N520" s="10" t="str">
        <f t="shared" si="31"/>
        <v>RSR113B4</v>
      </c>
      <c r="O520" s="10">
        <f>IF(Table1[[#This Row],[ID ROW]]&lt;=12,1,INT((Table1[[#This Row],[ID ROW]]-1)/12)+1)</f>
        <v>9</v>
      </c>
      <c r="P520" s="10">
        <f>Table1[[#This Row],[ID ROW]]-((Table1[[#This Row],[SECT]]-1)*12)</f>
        <v>1</v>
      </c>
    </row>
    <row r="521" spans="1:16" ht="15.75" customHeight="1" x14ac:dyDescent="0.25">
      <c r="A521" s="6" t="s">
        <v>1874</v>
      </c>
      <c r="B521" s="6" t="s">
        <v>1875</v>
      </c>
      <c r="C521" s="6" t="s">
        <v>1887</v>
      </c>
      <c r="D521" s="6" t="s">
        <v>1888</v>
      </c>
      <c r="F521" s="7" t="s">
        <v>1889</v>
      </c>
      <c r="G521" s="8">
        <v>533</v>
      </c>
      <c r="H521" s="9" t="s">
        <v>21</v>
      </c>
      <c r="I521" s="9">
        <f t="shared" si="29"/>
        <v>97</v>
      </c>
      <c r="J521" s="9">
        <f t="shared" si="28"/>
        <v>5</v>
      </c>
      <c r="K521" s="10" t="str">
        <f t="shared" si="32"/>
        <v>S1R97B5</v>
      </c>
      <c r="L521" s="10" t="s">
        <v>22</v>
      </c>
      <c r="M521" s="10">
        <f>IF(Table1[[#This Row],[ID ROW]]&lt;=12,Table1[[#This Row],[ID ROW]],Table1[[#This Row],[ID ROW]]+INT((Table1[[#This Row],[ID ROW]]-1)/12)*2)</f>
        <v>113</v>
      </c>
      <c r="N521" s="10" t="str">
        <f t="shared" si="31"/>
        <v>RSR113B5</v>
      </c>
      <c r="O521" s="10">
        <f>IF(Table1[[#This Row],[ID ROW]]&lt;=12,1,INT((Table1[[#This Row],[ID ROW]]-1)/12)+1)</f>
        <v>9</v>
      </c>
      <c r="P521" s="10">
        <f>Table1[[#This Row],[ID ROW]]-((Table1[[#This Row],[SECT]]-1)*12)</f>
        <v>1</v>
      </c>
    </row>
    <row r="522" spans="1:16" ht="15.75" customHeight="1" x14ac:dyDescent="0.3">
      <c r="A522" s="6" t="s">
        <v>1874</v>
      </c>
      <c r="B522" s="6" t="s">
        <v>1875</v>
      </c>
      <c r="C522" s="6" t="s">
        <v>1890</v>
      </c>
      <c r="D522" s="6" t="s">
        <v>1891</v>
      </c>
      <c r="F522" s="13"/>
      <c r="G522" s="8">
        <v>534</v>
      </c>
      <c r="H522" s="9" t="s">
        <v>21</v>
      </c>
      <c r="I522" s="9">
        <f t="shared" si="29"/>
        <v>97</v>
      </c>
      <c r="J522" s="9">
        <f t="shared" si="28"/>
        <v>6</v>
      </c>
      <c r="K522" s="10" t="str">
        <f t="shared" si="32"/>
        <v>S1R97B6</v>
      </c>
      <c r="L522" s="10" t="s">
        <v>22</v>
      </c>
      <c r="M522" s="10">
        <f>IF(Table1[[#This Row],[ID ROW]]&lt;=12,Table1[[#This Row],[ID ROW]],Table1[[#This Row],[ID ROW]]+INT((Table1[[#This Row],[ID ROW]]-1)/12)*2)</f>
        <v>113</v>
      </c>
      <c r="N522" s="10" t="str">
        <f t="shared" si="31"/>
        <v>RSR113B6</v>
      </c>
      <c r="O522" s="10">
        <f>IF(Table1[[#This Row],[ID ROW]]&lt;=12,1,INT((Table1[[#This Row],[ID ROW]]-1)/12)+1)</f>
        <v>9</v>
      </c>
      <c r="P522" s="10">
        <f>Table1[[#This Row],[ID ROW]]-((Table1[[#This Row],[SECT]]-1)*12)</f>
        <v>1</v>
      </c>
    </row>
    <row r="523" spans="1:16" ht="15.75" customHeight="1" x14ac:dyDescent="0.25">
      <c r="A523" s="6" t="s">
        <v>1874</v>
      </c>
      <c r="B523" s="6" t="s">
        <v>1875</v>
      </c>
      <c r="C523" s="6" t="s">
        <v>1892</v>
      </c>
      <c r="D523" s="6" t="s">
        <v>1893</v>
      </c>
      <c r="F523" s="7"/>
      <c r="G523" s="8">
        <v>535</v>
      </c>
      <c r="H523" s="9" t="s">
        <v>21</v>
      </c>
      <c r="I523" s="9">
        <f t="shared" si="29"/>
        <v>98</v>
      </c>
      <c r="J523" s="9">
        <f t="shared" si="28"/>
        <v>1</v>
      </c>
      <c r="K523" s="10" t="str">
        <f t="shared" si="32"/>
        <v>S1R98B1</v>
      </c>
      <c r="L523" s="10" t="s">
        <v>22</v>
      </c>
      <c r="M523" s="10">
        <f>IF(Table1[[#This Row],[ID ROW]]&lt;=12,Table1[[#This Row],[ID ROW]],Table1[[#This Row],[ID ROW]]+INT((Table1[[#This Row],[ID ROW]]-1)/12)*2)</f>
        <v>114</v>
      </c>
      <c r="N523" s="10" t="str">
        <f t="shared" si="31"/>
        <v>RSR114B1</v>
      </c>
      <c r="O523" s="10">
        <f>IF(Table1[[#This Row],[ID ROW]]&lt;=12,1,INT((Table1[[#This Row],[ID ROW]]-1)/12)+1)</f>
        <v>9</v>
      </c>
      <c r="P523" s="10">
        <f>Table1[[#This Row],[ID ROW]]-((Table1[[#This Row],[SECT]]-1)*12)</f>
        <v>2</v>
      </c>
    </row>
    <row r="524" spans="1:16" ht="15.75" customHeight="1" x14ac:dyDescent="0.3">
      <c r="A524" s="6" t="s">
        <v>1894</v>
      </c>
      <c r="B524" s="6" t="s">
        <v>1895</v>
      </c>
      <c r="C524" s="6" t="s">
        <v>1896</v>
      </c>
      <c r="D524" s="6" t="s">
        <v>67</v>
      </c>
      <c r="F524" s="13" t="s">
        <v>1897</v>
      </c>
      <c r="G524" s="8">
        <v>1</v>
      </c>
      <c r="H524" s="21" t="s">
        <v>1898</v>
      </c>
      <c r="I524" s="9">
        <f t="shared" ref="I524:I539" si="33">INT((G524-1)/11)*2 + IF(MOD(G524-1, 11) &lt; 6, 1, 2)</f>
        <v>1</v>
      </c>
      <c r="J524" s="9">
        <f t="shared" ref="J524:J538" si="34">IF(MOD(G524-1,11)&lt;6,(MOD(G524-1,11)+1-(5*FLOOR(MOD(G524-1,11),6))),(MOD(G524-1,11))-5)</f>
        <v>1</v>
      </c>
      <c r="K524" s="10" t="str">
        <f t="shared" ref="K524:K576" si="35">H524&amp;"R"&amp;I524&amp;"B"&amp;J524</f>
        <v>S2R1B1</v>
      </c>
      <c r="L524" s="10" t="s">
        <v>1899</v>
      </c>
      <c r="M524" s="10">
        <f>IF(Table1[[#This Row],[ID ROW]]&lt;=12,Table1[[#This Row],[ID ROW]],Table1[[#This Row],[ID ROW]]+INT((Table1[[#This Row],[ID ROW]]-1)/12)*2)</f>
        <v>1</v>
      </c>
      <c r="N524" s="10" t="str">
        <f t="shared" ref="N524:N539" si="36">L524&amp;"R"&amp;M524&amp;"B"&amp;J524</f>
        <v>LSR1B1</v>
      </c>
      <c r="O524" s="10">
        <f>IF(Table1[[#This Row],[ID ROW]]&lt;=12,1,INT((Table1[[#This Row],[ID ROW]]-1)/12)+1)</f>
        <v>1</v>
      </c>
      <c r="P524" s="10">
        <f>Table1[[#This Row],[ID ROW]]-((Table1[[#This Row],[SECT]]-1)*12)</f>
        <v>1</v>
      </c>
    </row>
    <row r="525" spans="1:16" ht="15.75" customHeight="1" x14ac:dyDescent="0.25">
      <c r="A525" s="6" t="s">
        <v>1900</v>
      </c>
      <c r="B525" s="6" t="s">
        <v>1901</v>
      </c>
      <c r="C525" s="6" t="s">
        <v>67</v>
      </c>
      <c r="F525" s="7" t="s">
        <v>1902</v>
      </c>
      <c r="G525" s="8">
        <v>2</v>
      </c>
      <c r="H525" s="21" t="s">
        <v>1898</v>
      </c>
      <c r="I525" s="9">
        <f t="shared" si="33"/>
        <v>1</v>
      </c>
      <c r="J525" s="9">
        <f t="shared" si="34"/>
        <v>2</v>
      </c>
      <c r="K525" s="10" t="str">
        <f t="shared" si="35"/>
        <v>S2R1B2</v>
      </c>
      <c r="L525" s="10" t="s">
        <v>1899</v>
      </c>
      <c r="M525" s="10">
        <f>IF(Table1[[#This Row],[ID ROW]]&lt;=12,Table1[[#This Row],[ID ROW]],Table1[[#This Row],[ID ROW]]+INT((Table1[[#This Row],[ID ROW]]-1)/12)*2)</f>
        <v>1</v>
      </c>
      <c r="N525" s="10" t="str">
        <f t="shared" si="36"/>
        <v>LSR1B2</v>
      </c>
      <c r="O525" s="10">
        <f>IF(Table1[[#This Row],[ID ROW]]&lt;=12,1,INT((Table1[[#This Row],[ID ROW]]-1)/12)+1)</f>
        <v>1</v>
      </c>
      <c r="P525" s="10">
        <f>Table1[[#This Row],[ID ROW]]-((Table1[[#This Row],[SECT]]-1)*12)</f>
        <v>1</v>
      </c>
    </row>
    <row r="526" spans="1:16" ht="15.75" customHeight="1" x14ac:dyDescent="0.3">
      <c r="A526" s="6" t="s">
        <v>1903</v>
      </c>
      <c r="B526" s="6" t="s">
        <v>1904</v>
      </c>
      <c r="C526" s="6" t="s">
        <v>1905</v>
      </c>
      <c r="D526" s="6" t="s">
        <v>1906</v>
      </c>
      <c r="F526" s="13" t="s">
        <v>1907</v>
      </c>
      <c r="G526" s="8">
        <v>3</v>
      </c>
      <c r="H526" s="21" t="s">
        <v>1898</v>
      </c>
      <c r="I526" s="9">
        <f t="shared" si="33"/>
        <v>1</v>
      </c>
      <c r="J526" s="9">
        <f t="shared" si="34"/>
        <v>3</v>
      </c>
      <c r="K526" s="10" t="str">
        <f t="shared" si="35"/>
        <v>S2R1B3</v>
      </c>
      <c r="L526" s="10" t="s">
        <v>1899</v>
      </c>
      <c r="M526" s="10">
        <f>IF(Table1[[#This Row],[ID ROW]]&lt;=12,Table1[[#This Row],[ID ROW]],Table1[[#This Row],[ID ROW]]+INT((Table1[[#This Row],[ID ROW]]-1)/12)*2)</f>
        <v>1</v>
      </c>
      <c r="N526" s="10" t="str">
        <f t="shared" si="36"/>
        <v>LSR1B3</v>
      </c>
      <c r="O526" s="10">
        <f>IF(Table1[[#This Row],[ID ROW]]&lt;=12,1,INT((Table1[[#This Row],[ID ROW]]-1)/12)+1)</f>
        <v>1</v>
      </c>
      <c r="P526" s="10">
        <f>Table1[[#This Row],[ID ROW]]-((Table1[[#This Row],[SECT]]-1)*12)</f>
        <v>1</v>
      </c>
    </row>
    <row r="527" spans="1:16" ht="15.75" customHeight="1" x14ac:dyDescent="0.25">
      <c r="A527" s="6" t="s">
        <v>1908</v>
      </c>
      <c r="C527" s="6" t="s">
        <v>1909</v>
      </c>
      <c r="F527" s="7" t="s">
        <v>1164</v>
      </c>
      <c r="G527" s="8">
        <v>4</v>
      </c>
      <c r="H527" s="21" t="s">
        <v>1898</v>
      </c>
      <c r="I527" s="9">
        <f t="shared" si="33"/>
        <v>1</v>
      </c>
      <c r="J527" s="9">
        <f t="shared" si="34"/>
        <v>4</v>
      </c>
      <c r="K527" s="10" t="str">
        <f t="shared" si="35"/>
        <v>S2R1B4</v>
      </c>
      <c r="L527" s="10" t="s">
        <v>1899</v>
      </c>
      <c r="M527" s="10">
        <f>IF(Table1[[#This Row],[ID ROW]]&lt;=12,Table1[[#This Row],[ID ROW]],Table1[[#This Row],[ID ROW]]+INT((Table1[[#This Row],[ID ROW]]-1)/12)*2)</f>
        <v>1</v>
      </c>
      <c r="N527" s="10" t="str">
        <f t="shared" si="36"/>
        <v>LSR1B4</v>
      </c>
      <c r="O527" s="10">
        <f>IF(Table1[[#This Row],[ID ROW]]&lt;=12,1,INT((Table1[[#This Row],[ID ROW]]-1)/12)+1)</f>
        <v>1</v>
      </c>
      <c r="P527" s="10">
        <f>Table1[[#This Row],[ID ROW]]-((Table1[[#This Row],[SECT]]-1)*12)</f>
        <v>1</v>
      </c>
    </row>
    <row r="528" spans="1:16" ht="15.75" customHeight="1" x14ac:dyDescent="0.3">
      <c r="A528" s="6" t="s">
        <v>1910</v>
      </c>
      <c r="B528" s="6" t="s">
        <v>1911</v>
      </c>
      <c r="F528" s="13" t="s">
        <v>1912</v>
      </c>
      <c r="G528" s="8">
        <v>5</v>
      </c>
      <c r="H528" s="21" t="s">
        <v>1898</v>
      </c>
      <c r="I528" s="9">
        <f t="shared" si="33"/>
        <v>1</v>
      </c>
      <c r="J528" s="9">
        <f t="shared" si="34"/>
        <v>5</v>
      </c>
      <c r="K528" s="10" t="str">
        <f t="shared" si="35"/>
        <v>S2R1B5</v>
      </c>
      <c r="L528" s="10" t="s">
        <v>1899</v>
      </c>
      <c r="M528" s="10">
        <f>IF(Table1[[#This Row],[ID ROW]]&lt;=12,Table1[[#This Row],[ID ROW]],Table1[[#This Row],[ID ROW]]+INT((Table1[[#This Row],[ID ROW]]-1)/12)*2)</f>
        <v>1</v>
      </c>
      <c r="N528" s="10" t="str">
        <f t="shared" si="36"/>
        <v>LSR1B5</v>
      </c>
      <c r="O528" s="10">
        <f>IF(Table1[[#This Row],[ID ROW]]&lt;=12,1,INT((Table1[[#This Row],[ID ROW]]-1)/12)+1)</f>
        <v>1</v>
      </c>
      <c r="P528" s="10">
        <f>Table1[[#This Row],[ID ROW]]-((Table1[[#This Row],[SECT]]-1)*12)</f>
        <v>1</v>
      </c>
    </row>
    <row r="529" spans="1:16" ht="15.75" customHeight="1" x14ac:dyDescent="0.25">
      <c r="A529" s="6" t="s">
        <v>1913</v>
      </c>
      <c r="B529" s="6" t="s">
        <v>1914</v>
      </c>
      <c r="C529" s="6" t="s">
        <v>1915</v>
      </c>
      <c r="F529" s="7" t="s">
        <v>1916</v>
      </c>
      <c r="G529" s="8">
        <v>6</v>
      </c>
      <c r="H529" s="21" t="s">
        <v>1898</v>
      </c>
      <c r="I529" s="9">
        <f t="shared" si="33"/>
        <v>1</v>
      </c>
      <c r="J529" s="9">
        <f t="shared" si="34"/>
        <v>6</v>
      </c>
      <c r="K529" s="10" t="str">
        <f t="shared" si="35"/>
        <v>S2R1B6</v>
      </c>
      <c r="L529" s="10" t="s">
        <v>1899</v>
      </c>
      <c r="M529" s="10">
        <f>IF(Table1[[#This Row],[ID ROW]]&lt;=12,Table1[[#This Row],[ID ROW]],Table1[[#This Row],[ID ROW]]+INT((Table1[[#This Row],[ID ROW]]-1)/12)*2)</f>
        <v>1</v>
      </c>
      <c r="N529" s="10" t="str">
        <f t="shared" si="36"/>
        <v>LSR1B6</v>
      </c>
      <c r="O529" s="10">
        <f>IF(Table1[[#This Row],[ID ROW]]&lt;=12,1,INT((Table1[[#This Row],[ID ROW]]-1)/12)+1)</f>
        <v>1</v>
      </c>
      <c r="P529" s="10">
        <f>Table1[[#This Row],[ID ROW]]-((Table1[[#This Row],[SECT]]-1)*12)</f>
        <v>1</v>
      </c>
    </row>
    <row r="530" spans="1:16" ht="15.75" customHeight="1" x14ac:dyDescent="0.3">
      <c r="A530" s="6" t="s">
        <v>1917</v>
      </c>
      <c r="C530" s="6" t="s">
        <v>1918</v>
      </c>
      <c r="F530" s="13" t="s">
        <v>1919</v>
      </c>
      <c r="G530" s="8">
        <v>7</v>
      </c>
      <c r="H530" s="21" t="s">
        <v>1898</v>
      </c>
      <c r="I530" s="9">
        <f t="shared" si="33"/>
        <v>2</v>
      </c>
      <c r="J530" s="9">
        <f t="shared" si="34"/>
        <v>1</v>
      </c>
      <c r="K530" s="10" t="str">
        <f t="shared" si="35"/>
        <v>S2R2B1</v>
      </c>
      <c r="L530" s="10" t="s">
        <v>1899</v>
      </c>
      <c r="M530" s="10">
        <f>IF(Table1[[#This Row],[ID ROW]]&lt;=12,Table1[[#This Row],[ID ROW]],Table1[[#This Row],[ID ROW]]+INT((Table1[[#This Row],[ID ROW]]-1)/12)*2)</f>
        <v>2</v>
      </c>
      <c r="N530" s="10" t="str">
        <f t="shared" si="36"/>
        <v>LSR2B1</v>
      </c>
      <c r="O530" s="10">
        <f>IF(Table1[[#This Row],[ID ROW]]&lt;=12,1,INT((Table1[[#This Row],[ID ROW]]-1)/12)+1)</f>
        <v>1</v>
      </c>
      <c r="P530" s="10">
        <f>Table1[[#This Row],[ID ROW]]-((Table1[[#This Row],[SECT]]-1)*12)</f>
        <v>2</v>
      </c>
    </row>
    <row r="531" spans="1:16" ht="15.75" customHeight="1" x14ac:dyDescent="0.25">
      <c r="A531" s="6" t="s">
        <v>1920</v>
      </c>
      <c r="B531" s="6" t="s">
        <v>1921</v>
      </c>
      <c r="C531" s="6" t="s">
        <v>67</v>
      </c>
      <c r="F531" s="7" t="s">
        <v>1922</v>
      </c>
      <c r="G531" s="8">
        <v>8</v>
      </c>
      <c r="H531" s="21" t="s">
        <v>1898</v>
      </c>
      <c r="I531" s="9">
        <f t="shared" si="33"/>
        <v>2</v>
      </c>
      <c r="J531" s="9">
        <f t="shared" si="34"/>
        <v>2</v>
      </c>
      <c r="K531" s="10" t="str">
        <f t="shared" si="35"/>
        <v>S2R2B2</v>
      </c>
      <c r="L531" s="10" t="s">
        <v>1899</v>
      </c>
      <c r="M531" s="10">
        <f>IF(Table1[[#This Row],[ID ROW]]&lt;=12,Table1[[#This Row],[ID ROW]],Table1[[#This Row],[ID ROW]]+INT((Table1[[#This Row],[ID ROW]]-1)/12)*2)</f>
        <v>2</v>
      </c>
      <c r="N531" s="10" t="str">
        <f t="shared" si="36"/>
        <v>LSR2B2</v>
      </c>
      <c r="O531" s="10">
        <f>IF(Table1[[#This Row],[ID ROW]]&lt;=12,1,INT((Table1[[#This Row],[ID ROW]]-1)/12)+1)</f>
        <v>1</v>
      </c>
      <c r="P531" s="10">
        <f>Table1[[#This Row],[ID ROW]]-((Table1[[#This Row],[SECT]]-1)*12)</f>
        <v>2</v>
      </c>
    </row>
    <row r="532" spans="1:16" ht="15.75" customHeight="1" x14ac:dyDescent="0.3">
      <c r="A532" s="6" t="s">
        <v>1923</v>
      </c>
      <c r="B532" s="6" t="s">
        <v>1924</v>
      </c>
      <c r="C532" s="6" t="s">
        <v>194</v>
      </c>
      <c r="D532" s="6" t="s">
        <v>195</v>
      </c>
      <c r="F532" s="13" t="s">
        <v>1922</v>
      </c>
      <c r="G532" s="8">
        <v>9</v>
      </c>
      <c r="H532" s="21" t="s">
        <v>1898</v>
      </c>
      <c r="I532" s="9">
        <f t="shared" si="33"/>
        <v>2</v>
      </c>
      <c r="J532" s="9">
        <f t="shared" si="34"/>
        <v>3</v>
      </c>
      <c r="K532" s="10" t="str">
        <f t="shared" si="35"/>
        <v>S2R2B3</v>
      </c>
      <c r="L532" s="10" t="s">
        <v>1899</v>
      </c>
      <c r="M532" s="10">
        <f>IF(Table1[[#This Row],[ID ROW]]&lt;=12,Table1[[#This Row],[ID ROW]],Table1[[#This Row],[ID ROW]]+INT((Table1[[#This Row],[ID ROW]]-1)/12)*2)</f>
        <v>2</v>
      </c>
      <c r="N532" s="10" t="str">
        <f t="shared" si="36"/>
        <v>LSR2B3</v>
      </c>
      <c r="O532" s="10">
        <f>IF(Table1[[#This Row],[ID ROW]]&lt;=12,1,INT((Table1[[#This Row],[ID ROW]]-1)/12)+1)</f>
        <v>1</v>
      </c>
      <c r="P532" s="10">
        <f>Table1[[#This Row],[ID ROW]]-((Table1[[#This Row],[SECT]]-1)*12)</f>
        <v>2</v>
      </c>
    </row>
    <row r="533" spans="1:16" ht="15.75" customHeight="1" x14ac:dyDescent="0.25">
      <c r="A533" s="6" t="s">
        <v>1925</v>
      </c>
      <c r="B533" s="6" t="s">
        <v>1926</v>
      </c>
      <c r="C533" s="6" t="s">
        <v>1927</v>
      </c>
      <c r="F533" s="7" t="s">
        <v>1928</v>
      </c>
      <c r="G533" s="8">
        <v>10</v>
      </c>
      <c r="H533" s="21" t="s">
        <v>1898</v>
      </c>
      <c r="I533" s="9">
        <f t="shared" si="33"/>
        <v>2</v>
      </c>
      <c r="J533" s="9">
        <f t="shared" si="34"/>
        <v>4</v>
      </c>
      <c r="K533" s="10" t="str">
        <f t="shared" si="35"/>
        <v>S2R2B4</v>
      </c>
      <c r="L533" s="10" t="s">
        <v>1899</v>
      </c>
      <c r="M533" s="10">
        <f>IF(Table1[[#This Row],[ID ROW]]&lt;=12,Table1[[#This Row],[ID ROW]],Table1[[#This Row],[ID ROW]]+INT((Table1[[#This Row],[ID ROW]]-1)/12)*2)</f>
        <v>2</v>
      </c>
      <c r="N533" s="10" t="str">
        <f t="shared" si="36"/>
        <v>LSR2B4</v>
      </c>
      <c r="O533" s="10">
        <f>IF(Table1[[#This Row],[ID ROW]]&lt;=12,1,INT((Table1[[#This Row],[ID ROW]]-1)/12)+1)</f>
        <v>1</v>
      </c>
      <c r="P533" s="10">
        <f>Table1[[#This Row],[ID ROW]]-((Table1[[#This Row],[SECT]]-1)*12)</f>
        <v>2</v>
      </c>
    </row>
    <row r="534" spans="1:16" ht="15.75" customHeight="1" x14ac:dyDescent="0.3">
      <c r="A534" s="6" t="s">
        <v>1929</v>
      </c>
      <c r="B534" s="6" t="s">
        <v>1930</v>
      </c>
      <c r="C534" s="6" t="s">
        <v>1931</v>
      </c>
      <c r="F534" s="13" t="s">
        <v>1932</v>
      </c>
      <c r="G534" s="8">
        <v>11</v>
      </c>
      <c r="H534" s="21" t="s">
        <v>1898</v>
      </c>
      <c r="I534" s="9">
        <f t="shared" si="33"/>
        <v>2</v>
      </c>
      <c r="J534" s="9">
        <f t="shared" si="34"/>
        <v>5</v>
      </c>
      <c r="K534" s="10" t="str">
        <f t="shared" si="35"/>
        <v>S2R2B5</v>
      </c>
      <c r="L534" s="10" t="s">
        <v>1899</v>
      </c>
      <c r="M534" s="10">
        <f>IF(Table1[[#This Row],[ID ROW]]&lt;=12,Table1[[#This Row],[ID ROW]],Table1[[#This Row],[ID ROW]]+INT((Table1[[#This Row],[ID ROW]]-1)/12)*2)</f>
        <v>2</v>
      </c>
      <c r="N534" s="10" t="str">
        <f t="shared" si="36"/>
        <v>LSR2B5</v>
      </c>
      <c r="O534" s="10">
        <f>IF(Table1[[#This Row],[ID ROW]]&lt;=12,1,INT((Table1[[#This Row],[ID ROW]]-1)/12)+1)</f>
        <v>1</v>
      </c>
      <c r="P534" s="10">
        <f>Table1[[#This Row],[ID ROW]]-((Table1[[#This Row],[SECT]]-1)*12)</f>
        <v>2</v>
      </c>
    </row>
    <row r="535" spans="1:16" ht="15.75" customHeight="1" x14ac:dyDescent="0.25">
      <c r="A535" s="6" t="s">
        <v>1933</v>
      </c>
      <c r="B535" s="6" t="s">
        <v>1934</v>
      </c>
      <c r="C535" s="6" t="s">
        <v>1935</v>
      </c>
      <c r="D535" s="6" t="s">
        <v>1936</v>
      </c>
      <c r="F535" s="7" t="s">
        <v>1937</v>
      </c>
      <c r="G535" s="8">
        <v>12</v>
      </c>
      <c r="H535" s="21" t="s">
        <v>1898</v>
      </c>
      <c r="I535" s="9">
        <f t="shared" si="33"/>
        <v>3</v>
      </c>
      <c r="J535" s="9">
        <f t="shared" si="34"/>
        <v>1</v>
      </c>
      <c r="K535" s="10" t="str">
        <f t="shared" si="35"/>
        <v>S2R3B1</v>
      </c>
      <c r="L535" s="10" t="s">
        <v>1899</v>
      </c>
      <c r="M535" s="10">
        <f>IF(Table1[[#This Row],[ID ROW]]&lt;=12,Table1[[#This Row],[ID ROW]],Table1[[#This Row],[ID ROW]]+INT((Table1[[#This Row],[ID ROW]]-1)/12)*2)</f>
        <v>3</v>
      </c>
      <c r="N535" s="10" t="str">
        <f t="shared" si="36"/>
        <v>LSR3B1</v>
      </c>
      <c r="O535" s="10">
        <f>IF(Table1[[#This Row],[ID ROW]]&lt;=12,1,INT((Table1[[#This Row],[ID ROW]]-1)/12)+1)</f>
        <v>1</v>
      </c>
      <c r="P535" s="10">
        <f>Table1[[#This Row],[ID ROW]]-((Table1[[#This Row],[SECT]]-1)*12)</f>
        <v>3</v>
      </c>
    </row>
    <row r="536" spans="1:16" ht="15.75" customHeight="1" x14ac:dyDescent="0.3">
      <c r="A536" s="6" t="s">
        <v>1938</v>
      </c>
      <c r="B536" s="6" t="s">
        <v>1939</v>
      </c>
      <c r="C536" s="6" t="s">
        <v>1940</v>
      </c>
      <c r="D536" s="6" t="s">
        <v>1941</v>
      </c>
      <c r="F536" s="13" t="s">
        <v>1942</v>
      </c>
      <c r="G536" s="8">
        <v>13</v>
      </c>
      <c r="H536" s="21" t="s">
        <v>1898</v>
      </c>
      <c r="I536" s="9">
        <f t="shared" si="33"/>
        <v>3</v>
      </c>
      <c r="J536" s="9">
        <f t="shared" si="34"/>
        <v>2</v>
      </c>
      <c r="K536" s="10" t="str">
        <f t="shared" si="35"/>
        <v>S2R3B2</v>
      </c>
      <c r="L536" s="10" t="s">
        <v>1899</v>
      </c>
      <c r="M536" s="10">
        <f>IF(Table1[[#This Row],[ID ROW]]&lt;=12,Table1[[#This Row],[ID ROW]],Table1[[#This Row],[ID ROW]]+INT((Table1[[#This Row],[ID ROW]]-1)/12)*2)</f>
        <v>3</v>
      </c>
      <c r="N536" s="10" t="str">
        <f t="shared" si="36"/>
        <v>LSR3B2</v>
      </c>
      <c r="O536" s="10">
        <f>IF(Table1[[#This Row],[ID ROW]]&lt;=12,1,INT((Table1[[#This Row],[ID ROW]]-1)/12)+1)</f>
        <v>1</v>
      </c>
      <c r="P536" s="10">
        <f>Table1[[#This Row],[ID ROW]]-((Table1[[#This Row],[SECT]]-1)*12)</f>
        <v>3</v>
      </c>
    </row>
    <row r="537" spans="1:16" ht="15.75" customHeight="1" x14ac:dyDescent="0.25">
      <c r="A537" s="6" t="s">
        <v>1943</v>
      </c>
      <c r="B537" s="6" t="s">
        <v>1944</v>
      </c>
      <c r="C537" s="6" t="s">
        <v>1945</v>
      </c>
      <c r="D537" s="6" t="s">
        <v>1946</v>
      </c>
      <c r="F537" s="7" t="s">
        <v>1947</v>
      </c>
      <c r="G537" s="8">
        <v>14</v>
      </c>
      <c r="H537" s="21" t="s">
        <v>1898</v>
      </c>
      <c r="I537" s="9">
        <f t="shared" si="33"/>
        <v>3</v>
      </c>
      <c r="J537" s="9">
        <f t="shared" si="34"/>
        <v>3</v>
      </c>
      <c r="K537" s="10" t="str">
        <f t="shared" si="35"/>
        <v>S2R3B3</v>
      </c>
      <c r="L537" s="10" t="s">
        <v>1899</v>
      </c>
      <c r="M537" s="10">
        <f>IF(Table1[[#This Row],[ID ROW]]&lt;=12,Table1[[#This Row],[ID ROW]],Table1[[#This Row],[ID ROW]]+INT((Table1[[#This Row],[ID ROW]]-1)/12)*2)</f>
        <v>3</v>
      </c>
      <c r="N537" s="10" t="str">
        <f t="shared" si="36"/>
        <v>LSR3B3</v>
      </c>
      <c r="O537" s="10">
        <f>IF(Table1[[#This Row],[ID ROW]]&lt;=12,1,INT((Table1[[#This Row],[ID ROW]]-1)/12)+1)</f>
        <v>1</v>
      </c>
      <c r="P537" s="10">
        <f>Table1[[#This Row],[ID ROW]]-((Table1[[#This Row],[SECT]]-1)*12)</f>
        <v>3</v>
      </c>
    </row>
    <row r="538" spans="1:16" ht="15.75" customHeight="1" x14ac:dyDescent="0.3">
      <c r="A538" s="6" t="s">
        <v>1948</v>
      </c>
      <c r="B538" s="6" t="s">
        <v>1949</v>
      </c>
      <c r="C538" s="6" t="s">
        <v>1950</v>
      </c>
      <c r="F538" s="13" t="s">
        <v>1951</v>
      </c>
      <c r="G538" s="8">
        <v>15</v>
      </c>
      <c r="H538" s="21" t="s">
        <v>1898</v>
      </c>
      <c r="I538" s="9">
        <f t="shared" si="33"/>
        <v>3</v>
      </c>
      <c r="J538" s="9">
        <f t="shared" si="34"/>
        <v>4</v>
      </c>
      <c r="K538" s="10" t="str">
        <f t="shared" si="35"/>
        <v>S2R3B4</v>
      </c>
      <c r="L538" s="10" t="s">
        <v>1899</v>
      </c>
      <c r="M538" s="10">
        <f>IF(Table1[[#This Row],[ID ROW]]&lt;=12,Table1[[#This Row],[ID ROW]],Table1[[#This Row],[ID ROW]]+INT((Table1[[#This Row],[ID ROW]]-1)/12)*2)</f>
        <v>3</v>
      </c>
      <c r="N538" s="10" t="str">
        <f t="shared" si="36"/>
        <v>LSR3B4</v>
      </c>
      <c r="O538" s="10">
        <f>IF(Table1[[#This Row],[ID ROW]]&lt;=12,1,INT((Table1[[#This Row],[ID ROW]]-1)/12)+1)</f>
        <v>1</v>
      </c>
      <c r="P538" s="10">
        <f>Table1[[#This Row],[ID ROW]]-((Table1[[#This Row],[SECT]]-1)*12)</f>
        <v>3</v>
      </c>
    </row>
    <row r="539" spans="1:16" ht="15.75" customHeight="1" x14ac:dyDescent="0.25">
      <c r="A539" s="6" t="s">
        <v>1952</v>
      </c>
      <c r="B539" s="6" t="s">
        <v>1953</v>
      </c>
      <c r="C539" s="6" t="s">
        <v>67</v>
      </c>
      <c r="F539" s="7" t="s">
        <v>1954</v>
      </c>
      <c r="G539" s="8">
        <v>16</v>
      </c>
      <c r="H539" s="21" t="s">
        <v>1898</v>
      </c>
      <c r="I539" s="9">
        <f t="shared" si="33"/>
        <v>3</v>
      </c>
      <c r="J539" s="9">
        <f t="shared" ref="J539:J602" si="37">IF(MOD(G539-1,11)&lt;6,(MOD(G539-1,11)+1-(5*FLOOR(MOD(G539-1,11),6))),(MOD(G539-1,11))-5)</f>
        <v>5</v>
      </c>
      <c r="K539" s="10" t="str">
        <f t="shared" si="35"/>
        <v>S2R3B5</v>
      </c>
      <c r="L539" s="10" t="s">
        <v>1899</v>
      </c>
      <c r="M539" s="10">
        <f>IF(Table1[[#This Row],[ID ROW]]&lt;=12,Table1[[#This Row],[ID ROW]],Table1[[#This Row],[ID ROW]]+INT((Table1[[#This Row],[ID ROW]]-1)/12)*2)</f>
        <v>3</v>
      </c>
      <c r="N539" s="10" t="str">
        <f t="shared" si="36"/>
        <v>LSR3B5</v>
      </c>
      <c r="O539" s="10">
        <f>IF(Table1[[#This Row],[ID ROW]]&lt;=12,1,INT((Table1[[#This Row],[ID ROW]]-1)/12)+1)</f>
        <v>1</v>
      </c>
      <c r="P539" s="10">
        <f>Table1[[#This Row],[ID ROW]]-((Table1[[#This Row],[SECT]]-1)*12)</f>
        <v>3</v>
      </c>
    </row>
    <row r="540" spans="1:16" ht="15.75" customHeight="1" x14ac:dyDescent="0.3">
      <c r="A540" s="6" t="s">
        <v>1955</v>
      </c>
      <c r="B540" s="6" t="s">
        <v>1956</v>
      </c>
      <c r="C540" s="6" t="s">
        <v>1957</v>
      </c>
      <c r="F540" s="13" t="s">
        <v>1958</v>
      </c>
      <c r="G540" s="8">
        <v>17</v>
      </c>
      <c r="H540" s="21" t="s">
        <v>1898</v>
      </c>
      <c r="I540" s="9">
        <f t="shared" ref="I540:I603" si="38">INT((G540-1)/11)*2 + IF(MOD(G540-1, 11) &lt; 6, 1, 2)</f>
        <v>3</v>
      </c>
      <c r="J540" s="9">
        <f t="shared" si="37"/>
        <v>6</v>
      </c>
      <c r="K540" s="10" t="str">
        <f t="shared" si="35"/>
        <v>S2R3B6</v>
      </c>
      <c r="L540" s="10" t="s">
        <v>1899</v>
      </c>
      <c r="M540" s="10">
        <f>IF(Table1[[#This Row],[ID ROW]]&lt;=12,Table1[[#This Row],[ID ROW]],Table1[[#This Row],[ID ROW]]+INT((Table1[[#This Row],[ID ROW]]-1)/12)*2)</f>
        <v>3</v>
      </c>
      <c r="N540" s="10" t="str">
        <f t="shared" ref="N540:N603" si="39">L540&amp;"R"&amp;M540&amp;"B"&amp;J540</f>
        <v>LSR3B6</v>
      </c>
      <c r="O540" s="10">
        <f>IF(Table1[[#This Row],[ID ROW]]&lt;=12,1,INT((Table1[[#This Row],[ID ROW]]-1)/12)+1)</f>
        <v>1</v>
      </c>
      <c r="P540" s="10">
        <f>Table1[[#This Row],[ID ROW]]-((Table1[[#This Row],[SECT]]-1)*12)</f>
        <v>3</v>
      </c>
    </row>
    <row r="541" spans="1:16" ht="15.75" customHeight="1" x14ac:dyDescent="0.25">
      <c r="A541" s="6" t="s">
        <v>1959</v>
      </c>
      <c r="B541" s="6" t="s">
        <v>1960</v>
      </c>
      <c r="C541" s="6" t="s">
        <v>194</v>
      </c>
      <c r="D541" s="6" t="s">
        <v>195</v>
      </c>
      <c r="F541" s="7" t="s">
        <v>1961</v>
      </c>
      <c r="G541" s="8">
        <v>18</v>
      </c>
      <c r="H541" s="21" t="s">
        <v>1898</v>
      </c>
      <c r="I541" s="9">
        <f t="shared" si="38"/>
        <v>4</v>
      </c>
      <c r="J541" s="9">
        <f t="shared" si="37"/>
        <v>1</v>
      </c>
      <c r="K541" s="10" t="str">
        <f t="shared" si="35"/>
        <v>S2R4B1</v>
      </c>
      <c r="L541" s="10" t="s">
        <v>1899</v>
      </c>
      <c r="M541" s="10">
        <f>IF(Table1[[#This Row],[ID ROW]]&lt;=12,Table1[[#This Row],[ID ROW]],Table1[[#This Row],[ID ROW]]+INT((Table1[[#This Row],[ID ROW]]-1)/12)*2)</f>
        <v>4</v>
      </c>
      <c r="N541" s="10" t="str">
        <f t="shared" si="39"/>
        <v>LSR4B1</v>
      </c>
      <c r="O541" s="10">
        <f>IF(Table1[[#This Row],[ID ROW]]&lt;=12,1,INT((Table1[[#This Row],[ID ROW]]-1)/12)+1)</f>
        <v>1</v>
      </c>
      <c r="P541" s="10">
        <f>Table1[[#This Row],[ID ROW]]-((Table1[[#This Row],[SECT]]-1)*12)</f>
        <v>4</v>
      </c>
    </row>
    <row r="542" spans="1:16" ht="15.75" customHeight="1" x14ac:dyDescent="0.3">
      <c r="A542" s="6" t="s">
        <v>1962</v>
      </c>
      <c r="B542" s="6" t="s">
        <v>1963</v>
      </c>
      <c r="C542" s="6" t="s">
        <v>194</v>
      </c>
      <c r="D542" s="6" t="s">
        <v>195</v>
      </c>
      <c r="F542" s="13" t="s">
        <v>1961</v>
      </c>
      <c r="G542" s="8">
        <v>19</v>
      </c>
      <c r="H542" s="21" t="s">
        <v>1898</v>
      </c>
      <c r="I542" s="9">
        <f t="shared" si="38"/>
        <v>4</v>
      </c>
      <c r="J542" s="9">
        <f t="shared" si="37"/>
        <v>2</v>
      </c>
      <c r="K542" s="10" t="str">
        <f t="shared" si="35"/>
        <v>S2R4B2</v>
      </c>
      <c r="L542" s="10" t="s">
        <v>1899</v>
      </c>
      <c r="M542" s="10">
        <f>IF(Table1[[#This Row],[ID ROW]]&lt;=12,Table1[[#This Row],[ID ROW]],Table1[[#This Row],[ID ROW]]+INT((Table1[[#This Row],[ID ROW]]-1)/12)*2)</f>
        <v>4</v>
      </c>
      <c r="N542" s="10" t="str">
        <f t="shared" si="39"/>
        <v>LSR4B2</v>
      </c>
      <c r="O542" s="10">
        <f>IF(Table1[[#This Row],[ID ROW]]&lt;=12,1,INT((Table1[[#This Row],[ID ROW]]-1)/12)+1)</f>
        <v>1</v>
      </c>
      <c r="P542" s="10">
        <f>Table1[[#This Row],[ID ROW]]-((Table1[[#This Row],[SECT]]-1)*12)</f>
        <v>4</v>
      </c>
    </row>
    <row r="543" spans="1:16" ht="15.75" customHeight="1" x14ac:dyDescent="0.25">
      <c r="A543" s="6" t="s">
        <v>1964</v>
      </c>
      <c r="B543" s="6" t="s">
        <v>1965</v>
      </c>
      <c r="C543" s="6" t="s">
        <v>67</v>
      </c>
      <c r="F543" s="7" t="s">
        <v>1961</v>
      </c>
      <c r="G543" s="8">
        <v>20</v>
      </c>
      <c r="H543" s="21" t="s">
        <v>1898</v>
      </c>
      <c r="I543" s="9">
        <f t="shared" si="38"/>
        <v>4</v>
      </c>
      <c r="J543" s="9">
        <f t="shared" si="37"/>
        <v>3</v>
      </c>
      <c r="K543" s="10" t="str">
        <f t="shared" si="35"/>
        <v>S2R4B3</v>
      </c>
      <c r="L543" s="10" t="s">
        <v>1899</v>
      </c>
      <c r="M543" s="10">
        <f>IF(Table1[[#This Row],[ID ROW]]&lt;=12,Table1[[#This Row],[ID ROW]],Table1[[#This Row],[ID ROW]]+INT((Table1[[#This Row],[ID ROW]]-1)/12)*2)</f>
        <v>4</v>
      </c>
      <c r="N543" s="10" t="str">
        <f t="shared" si="39"/>
        <v>LSR4B3</v>
      </c>
      <c r="O543" s="10">
        <f>IF(Table1[[#This Row],[ID ROW]]&lt;=12,1,INT((Table1[[#This Row],[ID ROW]]-1)/12)+1)</f>
        <v>1</v>
      </c>
      <c r="P543" s="10">
        <f>Table1[[#This Row],[ID ROW]]-((Table1[[#This Row],[SECT]]-1)*12)</f>
        <v>4</v>
      </c>
    </row>
    <row r="544" spans="1:16" ht="15.75" customHeight="1" x14ac:dyDescent="0.3">
      <c r="A544" s="6" t="s">
        <v>1966</v>
      </c>
      <c r="B544" s="6" t="s">
        <v>1967</v>
      </c>
      <c r="C544" s="6" t="s">
        <v>1968</v>
      </c>
      <c r="D544" s="6" t="s">
        <v>1969</v>
      </c>
      <c r="F544" s="13" t="s">
        <v>1970</v>
      </c>
      <c r="G544" s="8">
        <v>21</v>
      </c>
      <c r="H544" s="21" t="s">
        <v>1898</v>
      </c>
      <c r="I544" s="9">
        <f t="shared" si="38"/>
        <v>4</v>
      </c>
      <c r="J544" s="9">
        <f t="shared" si="37"/>
        <v>4</v>
      </c>
      <c r="K544" s="10" t="str">
        <f t="shared" si="35"/>
        <v>S2R4B4</v>
      </c>
      <c r="L544" s="10" t="s">
        <v>1899</v>
      </c>
      <c r="M544" s="10">
        <f>IF(Table1[[#This Row],[ID ROW]]&lt;=12,Table1[[#This Row],[ID ROW]],Table1[[#This Row],[ID ROW]]+INT((Table1[[#This Row],[ID ROW]]-1)/12)*2)</f>
        <v>4</v>
      </c>
      <c r="N544" s="10" t="str">
        <f t="shared" si="39"/>
        <v>LSR4B4</v>
      </c>
      <c r="O544" s="10">
        <f>IF(Table1[[#This Row],[ID ROW]]&lt;=12,1,INT((Table1[[#This Row],[ID ROW]]-1)/12)+1)</f>
        <v>1</v>
      </c>
      <c r="P544" s="10">
        <f>Table1[[#This Row],[ID ROW]]-((Table1[[#This Row],[SECT]]-1)*12)</f>
        <v>4</v>
      </c>
    </row>
    <row r="545" spans="1:16" ht="15.75" customHeight="1" x14ac:dyDescent="0.25">
      <c r="A545" s="6" t="s">
        <v>1971</v>
      </c>
      <c r="B545" s="6" t="s">
        <v>1972</v>
      </c>
      <c r="C545" s="6" t="s">
        <v>1973</v>
      </c>
      <c r="D545" s="22">
        <v>16160</v>
      </c>
      <c r="F545" s="7" t="s">
        <v>1974</v>
      </c>
      <c r="G545" s="8">
        <v>22</v>
      </c>
      <c r="H545" s="21" t="s">
        <v>1898</v>
      </c>
      <c r="I545" s="9">
        <f t="shared" si="38"/>
        <v>4</v>
      </c>
      <c r="J545" s="9">
        <f t="shared" si="37"/>
        <v>5</v>
      </c>
      <c r="K545" s="10" t="str">
        <f t="shared" si="35"/>
        <v>S2R4B5</v>
      </c>
      <c r="L545" s="10" t="s">
        <v>1899</v>
      </c>
      <c r="M545" s="10">
        <f>IF(Table1[[#This Row],[ID ROW]]&lt;=12,Table1[[#This Row],[ID ROW]],Table1[[#This Row],[ID ROW]]+INT((Table1[[#This Row],[ID ROW]]-1)/12)*2)</f>
        <v>4</v>
      </c>
      <c r="N545" s="10" t="str">
        <f t="shared" si="39"/>
        <v>LSR4B5</v>
      </c>
      <c r="O545" s="10">
        <f>IF(Table1[[#This Row],[ID ROW]]&lt;=12,1,INT((Table1[[#This Row],[ID ROW]]-1)/12)+1)</f>
        <v>1</v>
      </c>
      <c r="P545" s="10">
        <f>Table1[[#This Row],[ID ROW]]-((Table1[[#This Row],[SECT]]-1)*12)</f>
        <v>4</v>
      </c>
    </row>
    <row r="546" spans="1:16" ht="15.75" customHeight="1" x14ac:dyDescent="0.3">
      <c r="A546" s="6" t="s">
        <v>1975</v>
      </c>
      <c r="B546" s="6" t="s">
        <v>1976</v>
      </c>
      <c r="C546" s="6" t="s">
        <v>1977</v>
      </c>
      <c r="F546" s="13" t="s">
        <v>481</v>
      </c>
      <c r="G546" s="8">
        <v>23</v>
      </c>
      <c r="H546" s="21" t="s">
        <v>1898</v>
      </c>
      <c r="I546" s="9">
        <f t="shared" si="38"/>
        <v>5</v>
      </c>
      <c r="J546" s="9">
        <f t="shared" si="37"/>
        <v>1</v>
      </c>
      <c r="K546" s="10" t="str">
        <f t="shared" si="35"/>
        <v>S2R5B1</v>
      </c>
      <c r="L546" s="10" t="s">
        <v>1899</v>
      </c>
      <c r="M546" s="10">
        <f>IF(Table1[[#This Row],[ID ROW]]&lt;=12,Table1[[#This Row],[ID ROW]],Table1[[#This Row],[ID ROW]]+INT((Table1[[#This Row],[ID ROW]]-1)/12)*2)</f>
        <v>5</v>
      </c>
      <c r="N546" s="10" t="str">
        <f t="shared" si="39"/>
        <v>LSR5B1</v>
      </c>
      <c r="O546" s="10">
        <f>IF(Table1[[#This Row],[ID ROW]]&lt;=12,1,INT((Table1[[#This Row],[ID ROW]]-1)/12)+1)</f>
        <v>1</v>
      </c>
      <c r="P546" s="10">
        <f>Table1[[#This Row],[ID ROW]]-((Table1[[#This Row],[SECT]]-1)*12)</f>
        <v>5</v>
      </c>
    </row>
    <row r="547" spans="1:16" ht="15.75" customHeight="1" x14ac:dyDescent="0.25">
      <c r="A547" s="6" t="s">
        <v>1978</v>
      </c>
      <c r="B547" s="6" t="s">
        <v>1979</v>
      </c>
      <c r="C547" s="6" t="s">
        <v>1980</v>
      </c>
      <c r="D547" s="6" t="s">
        <v>1981</v>
      </c>
      <c r="F547" s="7" t="s">
        <v>1982</v>
      </c>
      <c r="G547" s="8">
        <v>24</v>
      </c>
      <c r="H547" s="21" t="s">
        <v>1898</v>
      </c>
      <c r="I547" s="9">
        <f t="shared" si="38"/>
        <v>5</v>
      </c>
      <c r="J547" s="9">
        <f t="shared" si="37"/>
        <v>2</v>
      </c>
      <c r="K547" s="10" t="str">
        <f t="shared" si="35"/>
        <v>S2R5B2</v>
      </c>
      <c r="L547" s="10" t="s">
        <v>1899</v>
      </c>
      <c r="M547" s="10">
        <f>IF(Table1[[#This Row],[ID ROW]]&lt;=12,Table1[[#This Row],[ID ROW]],Table1[[#This Row],[ID ROW]]+INT((Table1[[#This Row],[ID ROW]]-1)/12)*2)</f>
        <v>5</v>
      </c>
      <c r="N547" s="10" t="str">
        <f t="shared" si="39"/>
        <v>LSR5B2</v>
      </c>
      <c r="O547" s="10">
        <f>IF(Table1[[#This Row],[ID ROW]]&lt;=12,1,INT((Table1[[#This Row],[ID ROW]]-1)/12)+1)</f>
        <v>1</v>
      </c>
      <c r="P547" s="10">
        <f>Table1[[#This Row],[ID ROW]]-((Table1[[#This Row],[SECT]]-1)*12)</f>
        <v>5</v>
      </c>
    </row>
    <row r="548" spans="1:16" ht="15.75" customHeight="1" x14ac:dyDescent="0.3">
      <c r="A548" s="6" t="s">
        <v>1983</v>
      </c>
      <c r="B548" s="6" t="s">
        <v>150</v>
      </c>
      <c r="C548" s="6" t="s">
        <v>1984</v>
      </c>
      <c r="F548" s="13" t="s">
        <v>1985</v>
      </c>
      <c r="G548" s="8">
        <v>25</v>
      </c>
      <c r="H548" s="21" t="s">
        <v>1898</v>
      </c>
      <c r="I548" s="9">
        <f t="shared" si="38"/>
        <v>5</v>
      </c>
      <c r="J548" s="9">
        <f t="shared" si="37"/>
        <v>3</v>
      </c>
      <c r="K548" s="10" t="str">
        <f t="shared" si="35"/>
        <v>S2R5B3</v>
      </c>
      <c r="L548" s="10" t="s">
        <v>1899</v>
      </c>
      <c r="M548" s="10">
        <f>IF(Table1[[#This Row],[ID ROW]]&lt;=12,Table1[[#This Row],[ID ROW]],Table1[[#This Row],[ID ROW]]+INT((Table1[[#This Row],[ID ROW]]-1)/12)*2)</f>
        <v>5</v>
      </c>
      <c r="N548" s="10" t="str">
        <f t="shared" si="39"/>
        <v>LSR5B3</v>
      </c>
      <c r="O548" s="10">
        <f>IF(Table1[[#This Row],[ID ROW]]&lt;=12,1,INT((Table1[[#This Row],[ID ROW]]-1)/12)+1)</f>
        <v>1</v>
      </c>
      <c r="P548" s="10">
        <f>Table1[[#This Row],[ID ROW]]-((Table1[[#This Row],[SECT]]-1)*12)</f>
        <v>5</v>
      </c>
    </row>
    <row r="549" spans="1:16" ht="15.75" customHeight="1" x14ac:dyDescent="0.25">
      <c r="A549" s="6" t="s">
        <v>1986</v>
      </c>
      <c r="B549" s="6" t="s">
        <v>1987</v>
      </c>
      <c r="C549" s="6" t="s">
        <v>296</v>
      </c>
      <c r="D549" s="6" t="s">
        <v>1988</v>
      </c>
      <c r="F549" s="7" t="s">
        <v>1989</v>
      </c>
      <c r="G549" s="8">
        <v>26</v>
      </c>
      <c r="H549" s="21" t="s">
        <v>1898</v>
      </c>
      <c r="I549" s="9">
        <f t="shared" si="38"/>
        <v>5</v>
      </c>
      <c r="J549" s="9">
        <f t="shared" si="37"/>
        <v>4</v>
      </c>
      <c r="K549" s="10" t="str">
        <f t="shared" si="35"/>
        <v>S2R5B4</v>
      </c>
      <c r="L549" s="10" t="s">
        <v>1899</v>
      </c>
      <c r="M549" s="10">
        <f>IF(Table1[[#This Row],[ID ROW]]&lt;=12,Table1[[#This Row],[ID ROW]],Table1[[#This Row],[ID ROW]]+INT((Table1[[#This Row],[ID ROW]]-1)/12)*2)</f>
        <v>5</v>
      </c>
      <c r="N549" s="10" t="str">
        <f t="shared" si="39"/>
        <v>LSR5B4</v>
      </c>
      <c r="O549" s="10">
        <f>IF(Table1[[#This Row],[ID ROW]]&lt;=12,1,INT((Table1[[#This Row],[ID ROW]]-1)/12)+1)</f>
        <v>1</v>
      </c>
      <c r="P549" s="10">
        <f>Table1[[#This Row],[ID ROW]]-((Table1[[#This Row],[SECT]]-1)*12)</f>
        <v>5</v>
      </c>
    </row>
    <row r="550" spans="1:16" ht="15.75" customHeight="1" x14ac:dyDescent="0.3">
      <c r="A550" s="6" t="s">
        <v>1990</v>
      </c>
      <c r="B550" s="6" t="s">
        <v>234</v>
      </c>
      <c r="D550" s="6" t="s">
        <v>235</v>
      </c>
      <c r="F550" s="13" t="s">
        <v>1991</v>
      </c>
      <c r="G550" s="8">
        <v>27</v>
      </c>
      <c r="H550" s="21" t="s">
        <v>1898</v>
      </c>
      <c r="I550" s="9">
        <f t="shared" si="38"/>
        <v>5</v>
      </c>
      <c r="J550" s="9">
        <f t="shared" si="37"/>
        <v>5</v>
      </c>
      <c r="K550" s="10" t="str">
        <f t="shared" si="35"/>
        <v>S2R5B5</v>
      </c>
      <c r="L550" s="10" t="s">
        <v>1899</v>
      </c>
      <c r="M550" s="10">
        <f>IF(Table1[[#This Row],[ID ROW]]&lt;=12,Table1[[#This Row],[ID ROW]],Table1[[#This Row],[ID ROW]]+INT((Table1[[#This Row],[ID ROW]]-1)/12)*2)</f>
        <v>5</v>
      </c>
      <c r="N550" s="10" t="str">
        <f t="shared" si="39"/>
        <v>LSR5B5</v>
      </c>
      <c r="O550" s="10">
        <f>IF(Table1[[#This Row],[ID ROW]]&lt;=12,1,INT((Table1[[#This Row],[ID ROW]]-1)/12)+1)</f>
        <v>1</v>
      </c>
      <c r="P550" s="10">
        <f>Table1[[#This Row],[ID ROW]]-((Table1[[#This Row],[SECT]]-1)*12)</f>
        <v>5</v>
      </c>
    </row>
    <row r="551" spans="1:16" ht="15.75" customHeight="1" x14ac:dyDescent="0.25">
      <c r="A551" s="6" t="s">
        <v>1992</v>
      </c>
      <c r="B551" s="6" t="s">
        <v>1993</v>
      </c>
      <c r="C551" s="6" t="s">
        <v>1994</v>
      </c>
      <c r="D551" s="6" t="s">
        <v>1995</v>
      </c>
      <c r="F551" s="7" t="s">
        <v>1996</v>
      </c>
      <c r="G551" s="8">
        <v>28</v>
      </c>
      <c r="H551" s="21" t="s">
        <v>1898</v>
      </c>
      <c r="I551" s="9">
        <f t="shared" si="38"/>
        <v>5</v>
      </c>
      <c r="J551" s="9">
        <f t="shared" si="37"/>
        <v>6</v>
      </c>
      <c r="K551" s="10" t="str">
        <f t="shared" si="35"/>
        <v>S2R5B6</v>
      </c>
      <c r="L551" s="10" t="s">
        <v>1899</v>
      </c>
      <c r="M551" s="10">
        <f>IF(Table1[[#This Row],[ID ROW]]&lt;=12,Table1[[#This Row],[ID ROW]],Table1[[#This Row],[ID ROW]]+INT((Table1[[#This Row],[ID ROW]]-1)/12)*2)</f>
        <v>5</v>
      </c>
      <c r="N551" s="10" t="str">
        <f t="shared" si="39"/>
        <v>LSR5B6</v>
      </c>
      <c r="O551" s="10">
        <f>IF(Table1[[#This Row],[ID ROW]]&lt;=12,1,INT((Table1[[#This Row],[ID ROW]]-1)/12)+1)</f>
        <v>1</v>
      </c>
      <c r="P551" s="10">
        <f>Table1[[#This Row],[ID ROW]]-((Table1[[#This Row],[SECT]]-1)*12)</f>
        <v>5</v>
      </c>
    </row>
    <row r="552" spans="1:16" ht="15.75" customHeight="1" x14ac:dyDescent="0.3">
      <c r="A552" s="6" t="s">
        <v>1997</v>
      </c>
      <c r="B552" s="6" t="s">
        <v>1998</v>
      </c>
      <c r="C552" s="6" t="s">
        <v>1999</v>
      </c>
      <c r="F552" s="13" t="s">
        <v>2000</v>
      </c>
      <c r="G552" s="8">
        <v>29</v>
      </c>
      <c r="H552" s="21" t="s">
        <v>1898</v>
      </c>
      <c r="I552" s="9">
        <f t="shared" si="38"/>
        <v>6</v>
      </c>
      <c r="J552" s="9">
        <f t="shared" si="37"/>
        <v>1</v>
      </c>
      <c r="K552" s="10" t="str">
        <f t="shared" si="35"/>
        <v>S2R6B1</v>
      </c>
      <c r="L552" s="10" t="s">
        <v>1899</v>
      </c>
      <c r="M552" s="10">
        <f>IF(Table1[[#This Row],[ID ROW]]&lt;=12,Table1[[#This Row],[ID ROW]],Table1[[#This Row],[ID ROW]]+INT((Table1[[#This Row],[ID ROW]]-1)/12)*2)</f>
        <v>6</v>
      </c>
      <c r="N552" s="10" t="str">
        <f t="shared" si="39"/>
        <v>LSR6B1</v>
      </c>
      <c r="O552" s="10">
        <f>IF(Table1[[#This Row],[ID ROW]]&lt;=12,1,INT((Table1[[#This Row],[ID ROW]]-1)/12)+1)</f>
        <v>1</v>
      </c>
      <c r="P552" s="10">
        <f>Table1[[#This Row],[ID ROW]]-((Table1[[#This Row],[SECT]]-1)*12)</f>
        <v>6</v>
      </c>
    </row>
    <row r="553" spans="1:16" ht="15.75" customHeight="1" x14ac:dyDescent="0.25">
      <c r="A553" s="6" t="s">
        <v>2001</v>
      </c>
      <c r="B553" s="6" t="s">
        <v>2002</v>
      </c>
      <c r="C553" s="6" t="s">
        <v>339</v>
      </c>
      <c r="D553" s="6" t="s">
        <v>195</v>
      </c>
      <c r="F553" s="7" t="s">
        <v>2003</v>
      </c>
      <c r="G553" s="8">
        <v>30</v>
      </c>
      <c r="H553" s="21" t="s">
        <v>1898</v>
      </c>
      <c r="I553" s="9">
        <f t="shared" si="38"/>
        <v>6</v>
      </c>
      <c r="J553" s="9">
        <f t="shared" si="37"/>
        <v>2</v>
      </c>
      <c r="K553" s="10" t="str">
        <f t="shared" si="35"/>
        <v>S2R6B2</v>
      </c>
      <c r="L553" s="10" t="s">
        <v>1899</v>
      </c>
      <c r="M553" s="10">
        <f>IF(Table1[[#This Row],[ID ROW]]&lt;=12,Table1[[#This Row],[ID ROW]],Table1[[#This Row],[ID ROW]]+INT((Table1[[#This Row],[ID ROW]]-1)/12)*2)</f>
        <v>6</v>
      </c>
      <c r="N553" s="10" t="str">
        <f t="shared" si="39"/>
        <v>LSR6B2</v>
      </c>
      <c r="O553" s="10">
        <f>IF(Table1[[#This Row],[ID ROW]]&lt;=12,1,INT((Table1[[#This Row],[ID ROW]]-1)/12)+1)</f>
        <v>1</v>
      </c>
      <c r="P553" s="10">
        <f>Table1[[#This Row],[ID ROW]]-((Table1[[#This Row],[SECT]]-1)*12)</f>
        <v>6</v>
      </c>
    </row>
    <row r="554" spans="1:16" ht="15.75" customHeight="1" x14ac:dyDescent="0.3">
      <c r="A554" s="6" t="s">
        <v>2004</v>
      </c>
      <c r="B554" s="6" t="s">
        <v>150</v>
      </c>
      <c r="C554" s="6" t="s">
        <v>2005</v>
      </c>
      <c r="F554" s="13" t="s">
        <v>2006</v>
      </c>
      <c r="G554" s="8">
        <v>31</v>
      </c>
      <c r="H554" s="21" t="s">
        <v>1898</v>
      </c>
      <c r="I554" s="9">
        <f t="shared" si="38"/>
        <v>6</v>
      </c>
      <c r="J554" s="9">
        <f t="shared" si="37"/>
        <v>3</v>
      </c>
      <c r="K554" s="10" t="str">
        <f t="shared" si="35"/>
        <v>S2R6B3</v>
      </c>
      <c r="L554" s="10" t="s">
        <v>1899</v>
      </c>
      <c r="M554" s="10">
        <f>IF(Table1[[#This Row],[ID ROW]]&lt;=12,Table1[[#This Row],[ID ROW]],Table1[[#This Row],[ID ROW]]+INT((Table1[[#This Row],[ID ROW]]-1)/12)*2)</f>
        <v>6</v>
      </c>
      <c r="N554" s="10" t="str">
        <f t="shared" si="39"/>
        <v>LSR6B3</v>
      </c>
      <c r="O554" s="10">
        <f>IF(Table1[[#This Row],[ID ROW]]&lt;=12,1,INT((Table1[[#This Row],[ID ROW]]-1)/12)+1)</f>
        <v>1</v>
      </c>
      <c r="P554" s="10">
        <f>Table1[[#This Row],[ID ROW]]-((Table1[[#This Row],[SECT]]-1)*12)</f>
        <v>6</v>
      </c>
    </row>
    <row r="555" spans="1:16" ht="15.75" customHeight="1" x14ac:dyDescent="0.25">
      <c r="A555" s="6" t="s">
        <v>2007</v>
      </c>
      <c r="B555" s="6" t="s">
        <v>2008</v>
      </c>
      <c r="C555" s="6" t="s">
        <v>2009</v>
      </c>
      <c r="D555" s="6" t="s">
        <v>141</v>
      </c>
      <c r="F555" s="7" t="s">
        <v>2010</v>
      </c>
      <c r="G555" s="8">
        <v>32</v>
      </c>
      <c r="H555" s="21" t="s">
        <v>1898</v>
      </c>
      <c r="I555" s="9">
        <f t="shared" si="38"/>
        <v>6</v>
      </c>
      <c r="J555" s="9">
        <f t="shared" si="37"/>
        <v>4</v>
      </c>
      <c r="K555" s="10" t="str">
        <f t="shared" si="35"/>
        <v>S2R6B4</v>
      </c>
      <c r="L555" s="10" t="s">
        <v>1899</v>
      </c>
      <c r="M555" s="10">
        <f>IF(Table1[[#This Row],[ID ROW]]&lt;=12,Table1[[#This Row],[ID ROW]],Table1[[#This Row],[ID ROW]]+INT((Table1[[#This Row],[ID ROW]]-1)/12)*2)</f>
        <v>6</v>
      </c>
      <c r="N555" s="10" t="str">
        <f t="shared" si="39"/>
        <v>LSR6B4</v>
      </c>
      <c r="O555" s="10">
        <f>IF(Table1[[#This Row],[ID ROW]]&lt;=12,1,INT((Table1[[#This Row],[ID ROW]]-1)/12)+1)</f>
        <v>1</v>
      </c>
      <c r="P555" s="10">
        <f>Table1[[#This Row],[ID ROW]]-((Table1[[#This Row],[SECT]]-1)*12)</f>
        <v>6</v>
      </c>
    </row>
    <row r="556" spans="1:16" ht="15.75" customHeight="1" x14ac:dyDescent="0.3">
      <c r="A556" s="6" t="s">
        <v>2011</v>
      </c>
      <c r="B556" s="6" t="s">
        <v>2012</v>
      </c>
      <c r="C556" s="6" t="s">
        <v>2013</v>
      </c>
      <c r="F556" s="13" t="s">
        <v>2014</v>
      </c>
      <c r="G556" s="8">
        <v>33</v>
      </c>
      <c r="H556" s="21" t="s">
        <v>1898</v>
      </c>
      <c r="I556" s="9">
        <f t="shared" si="38"/>
        <v>6</v>
      </c>
      <c r="J556" s="9">
        <f t="shared" si="37"/>
        <v>5</v>
      </c>
      <c r="K556" s="10" t="str">
        <f t="shared" si="35"/>
        <v>S2R6B5</v>
      </c>
      <c r="L556" s="10" t="s">
        <v>1899</v>
      </c>
      <c r="M556" s="10">
        <f>IF(Table1[[#This Row],[ID ROW]]&lt;=12,Table1[[#This Row],[ID ROW]],Table1[[#This Row],[ID ROW]]+INT((Table1[[#This Row],[ID ROW]]-1)/12)*2)</f>
        <v>6</v>
      </c>
      <c r="N556" s="10" t="str">
        <f t="shared" si="39"/>
        <v>LSR6B5</v>
      </c>
      <c r="O556" s="10">
        <f>IF(Table1[[#This Row],[ID ROW]]&lt;=12,1,INT((Table1[[#This Row],[ID ROW]]-1)/12)+1)</f>
        <v>1</v>
      </c>
      <c r="P556" s="10">
        <f>Table1[[#This Row],[ID ROW]]-((Table1[[#This Row],[SECT]]-1)*12)</f>
        <v>6</v>
      </c>
    </row>
    <row r="557" spans="1:16" ht="15.75" customHeight="1" x14ac:dyDescent="0.25">
      <c r="A557" s="6" t="s">
        <v>2015</v>
      </c>
      <c r="B557" s="6" t="s">
        <v>2016</v>
      </c>
      <c r="C557" s="6" t="s">
        <v>2017</v>
      </c>
      <c r="F557" s="7" t="s">
        <v>2018</v>
      </c>
      <c r="G557" s="8">
        <v>34</v>
      </c>
      <c r="H557" s="21" t="s">
        <v>1898</v>
      </c>
      <c r="I557" s="9">
        <f t="shared" si="38"/>
        <v>7</v>
      </c>
      <c r="J557" s="9">
        <f t="shared" si="37"/>
        <v>1</v>
      </c>
      <c r="K557" s="10" t="str">
        <f t="shared" si="35"/>
        <v>S2R7B1</v>
      </c>
      <c r="L557" s="10" t="s">
        <v>1899</v>
      </c>
      <c r="M557" s="10">
        <f>IF(Table1[[#This Row],[ID ROW]]&lt;=12,Table1[[#This Row],[ID ROW]],Table1[[#This Row],[ID ROW]]+INT((Table1[[#This Row],[ID ROW]]-1)/12)*2)</f>
        <v>7</v>
      </c>
      <c r="N557" s="10" t="str">
        <f t="shared" si="39"/>
        <v>LSR7B1</v>
      </c>
      <c r="O557" s="10">
        <f>IF(Table1[[#This Row],[ID ROW]]&lt;=12,1,INT((Table1[[#This Row],[ID ROW]]-1)/12)+1)</f>
        <v>1</v>
      </c>
      <c r="P557" s="10">
        <f>Table1[[#This Row],[ID ROW]]-((Table1[[#This Row],[SECT]]-1)*12)</f>
        <v>7</v>
      </c>
    </row>
    <row r="558" spans="1:16" ht="15.75" customHeight="1" x14ac:dyDescent="0.3">
      <c r="A558" s="6" t="s">
        <v>2019</v>
      </c>
      <c r="B558" s="6" t="s">
        <v>2020</v>
      </c>
      <c r="C558" s="6" t="s">
        <v>2021</v>
      </c>
      <c r="F558" s="13" t="s">
        <v>2018</v>
      </c>
      <c r="G558" s="8">
        <v>35</v>
      </c>
      <c r="H558" s="21" t="s">
        <v>1898</v>
      </c>
      <c r="I558" s="9">
        <f t="shared" si="38"/>
        <v>7</v>
      </c>
      <c r="J558" s="9">
        <f t="shared" si="37"/>
        <v>2</v>
      </c>
      <c r="K558" s="10" t="str">
        <f t="shared" si="35"/>
        <v>S2R7B2</v>
      </c>
      <c r="L558" s="10" t="s">
        <v>1899</v>
      </c>
      <c r="M558" s="10">
        <f>IF(Table1[[#This Row],[ID ROW]]&lt;=12,Table1[[#This Row],[ID ROW]],Table1[[#This Row],[ID ROW]]+INT((Table1[[#This Row],[ID ROW]]-1)/12)*2)</f>
        <v>7</v>
      </c>
      <c r="N558" s="10" t="str">
        <f t="shared" si="39"/>
        <v>LSR7B2</v>
      </c>
      <c r="O558" s="10">
        <f>IF(Table1[[#This Row],[ID ROW]]&lt;=12,1,INT((Table1[[#This Row],[ID ROW]]-1)/12)+1)</f>
        <v>1</v>
      </c>
      <c r="P558" s="10">
        <f>Table1[[#This Row],[ID ROW]]-((Table1[[#This Row],[SECT]]-1)*12)</f>
        <v>7</v>
      </c>
    </row>
    <row r="559" spans="1:16" ht="15.75" customHeight="1" x14ac:dyDescent="0.25">
      <c r="A559" s="6" t="s">
        <v>2022</v>
      </c>
      <c r="B559" s="6" t="s">
        <v>113</v>
      </c>
      <c r="C559" s="6" t="s">
        <v>296</v>
      </c>
      <c r="F559" s="7" t="s">
        <v>2023</v>
      </c>
      <c r="G559" s="8">
        <v>36</v>
      </c>
      <c r="H559" s="21" t="s">
        <v>1898</v>
      </c>
      <c r="I559" s="9">
        <f t="shared" si="38"/>
        <v>7</v>
      </c>
      <c r="J559" s="9">
        <f t="shared" si="37"/>
        <v>3</v>
      </c>
      <c r="K559" s="10" t="str">
        <f t="shared" si="35"/>
        <v>S2R7B3</v>
      </c>
      <c r="L559" s="10" t="s">
        <v>1899</v>
      </c>
      <c r="M559" s="10">
        <f>IF(Table1[[#This Row],[ID ROW]]&lt;=12,Table1[[#This Row],[ID ROW]],Table1[[#This Row],[ID ROW]]+INT((Table1[[#This Row],[ID ROW]]-1)/12)*2)</f>
        <v>7</v>
      </c>
      <c r="N559" s="10" t="str">
        <f t="shared" si="39"/>
        <v>LSR7B3</v>
      </c>
      <c r="O559" s="10">
        <f>IF(Table1[[#This Row],[ID ROW]]&lt;=12,1,INT((Table1[[#This Row],[ID ROW]]-1)/12)+1)</f>
        <v>1</v>
      </c>
      <c r="P559" s="10">
        <f>Table1[[#This Row],[ID ROW]]-((Table1[[#This Row],[SECT]]-1)*12)</f>
        <v>7</v>
      </c>
    </row>
    <row r="560" spans="1:16" ht="15.75" customHeight="1" x14ac:dyDescent="0.3">
      <c r="A560" s="6" t="s">
        <v>2024</v>
      </c>
      <c r="B560" s="6" t="s">
        <v>2025</v>
      </c>
      <c r="C560" s="6" t="s">
        <v>2026</v>
      </c>
      <c r="D560" s="6" t="s">
        <v>2027</v>
      </c>
      <c r="F560" s="13" t="s">
        <v>2028</v>
      </c>
      <c r="G560" s="8">
        <v>37</v>
      </c>
      <c r="H560" s="21" t="s">
        <v>1898</v>
      </c>
      <c r="I560" s="9">
        <f t="shared" si="38"/>
        <v>7</v>
      </c>
      <c r="J560" s="9">
        <f t="shared" si="37"/>
        <v>4</v>
      </c>
      <c r="K560" s="10" t="str">
        <f t="shared" si="35"/>
        <v>S2R7B4</v>
      </c>
      <c r="L560" s="10" t="s">
        <v>1899</v>
      </c>
      <c r="M560" s="10">
        <f>IF(Table1[[#This Row],[ID ROW]]&lt;=12,Table1[[#This Row],[ID ROW]],Table1[[#This Row],[ID ROW]]+INT((Table1[[#This Row],[ID ROW]]-1)/12)*2)</f>
        <v>7</v>
      </c>
      <c r="N560" s="10" t="str">
        <f t="shared" si="39"/>
        <v>LSR7B4</v>
      </c>
      <c r="O560" s="10">
        <f>IF(Table1[[#This Row],[ID ROW]]&lt;=12,1,INT((Table1[[#This Row],[ID ROW]]-1)/12)+1)</f>
        <v>1</v>
      </c>
      <c r="P560" s="10">
        <f>Table1[[#This Row],[ID ROW]]-((Table1[[#This Row],[SECT]]-1)*12)</f>
        <v>7</v>
      </c>
    </row>
    <row r="561" spans="1:16" ht="15.75" customHeight="1" x14ac:dyDescent="0.25">
      <c r="A561" s="6" t="s">
        <v>2029</v>
      </c>
      <c r="B561" s="6" t="s">
        <v>2030</v>
      </c>
      <c r="C561" s="6" t="s">
        <v>2031</v>
      </c>
      <c r="D561" s="6" t="s">
        <v>2032</v>
      </c>
      <c r="F561" s="7" t="s">
        <v>2033</v>
      </c>
      <c r="G561" s="8">
        <v>38</v>
      </c>
      <c r="H561" s="21" t="s">
        <v>1898</v>
      </c>
      <c r="I561" s="9">
        <f t="shared" si="38"/>
        <v>7</v>
      </c>
      <c r="J561" s="9">
        <f t="shared" si="37"/>
        <v>5</v>
      </c>
      <c r="K561" s="10" t="str">
        <f t="shared" si="35"/>
        <v>S2R7B5</v>
      </c>
      <c r="L561" s="10" t="s">
        <v>1899</v>
      </c>
      <c r="M561" s="10">
        <f>IF(Table1[[#This Row],[ID ROW]]&lt;=12,Table1[[#This Row],[ID ROW]],Table1[[#This Row],[ID ROW]]+INT((Table1[[#This Row],[ID ROW]]-1)/12)*2)</f>
        <v>7</v>
      </c>
      <c r="N561" s="10" t="str">
        <f t="shared" si="39"/>
        <v>LSR7B5</v>
      </c>
      <c r="O561" s="10">
        <f>IF(Table1[[#This Row],[ID ROW]]&lt;=12,1,INT((Table1[[#This Row],[ID ROW]]-1)/12)+1)</f>
        <v>1</v>
      </c>
      <c r="P561" s="10">
        <f>Table1[[#This Row],[ID ROW]]-((Table1[[#This Row],[SECT]]-1)*12)</f>
        <v>7</v>
      </c>
    </row>
    <row r="562" spans="1:16" ht="15.75" customHeight="1" x14ac:dyDescent="0.3">
      <c r="A562" s="6" t="s">
        <v>2034</v>
      </c>
      <c r="B562" s="6" t="s">
        <v>2035</v>
      </c>
      <c r="C562" s="6" t="s">
        <v>2036</v>
      </c>
      <c r="D562" s="6" t="s">
        <v>1216</v>
      </c>
      <c r="F562" s="13" t="s">
        <v>2037</v>
      </c>
      <c r="G562" s="8">
        <v>39</v>
      </c>
      <c r="H562" s="21" t="s">
        <v>1898</v>
      </c>
      <c r="I562" s="9">
        <f t="shared" si="38"/>
        <v>7</v>
      </c>
      <c r="J562" s="9">
        <f t="shared" si="37"/>
        <v>6</v>
      </c>
      <c r="K562" s="10" t="str">
        <f t="shared" si="35"/>
        <v>S2R7B6</v>
      </c>
      <c r="L562" s="10" t="s">
        <v>1899</v>
      </c>
      <c r="M562" s="10">
        <f>IF(Table1[[#This Row],[ID ROW]]&lt;=12,Table1[[#This Row],[ID ROW]],Table1[[#This Row],[ID ROW]]+INT((Table1[[#This Row],[ID ROW]]-1)/12)*2)</f>
        <v>7</v>
      </c>
      <c r="N562" s="10" t="str">
        <f t="shared" si="39"/>
        <v>LSR7B6</v>
      </c>
      <c r="O562" s="10">
        <f>IF(Table1[[#This Row],[ID ROW]]&lt;=12,1,INT((Table1[[#This Row],[ID ROW]]-1)/12)+1)</f>
        <v>1</v>
      </c>
      <c r="P562" s="10">
        <f>Table1[[#This Row],[ID ROW]]-((Table1[[#This Row],[SECT]]-1)*12)</f>
        <v>7</v>
      </c>
    </row>
    <row r="563" spans="1:16" ht="15.75" customHeight="1" x14ac:dyDescent="0.25">
      <c r="A563" s="6" t="s">
        <v>2038</v>
      </c>
      <c r="B563" s="6" t="s">
        <v>214</v>
      </c>
      <c r="D563" s="6" t="s">
        <v>2039</v>
      </c>
      <c r="F563" s="7" t="s">
        <v>2040</v>
      </c>
      <c r="G563" s="8">
        <v>40</v>
      </c>
      <c r="H563" s="21" t="s">
        <v>1898</v>
      </c>
      <c r="I563" s="9">
        <f t="shared" si="38"/>
        <v>8</v>
      </c>
      <c r="J563" s="9">
        <f t="shared" si="37"/>
        <v>1</v>
      </c>
      <c r="K563" s="10" t="str">
        <f t="shared" si="35"/>
        <v>S2R8B1</v>
      </c>
      <c r="L563" s="10" t="s">
        <v>1899</v>
      </c>
      <c r="M563" s="10">
        <f>IF(Table1[[#This Row],[ID ROW]]&lt;=12,Table1[[#This Row],[ID ROW]],Table1[[#This Row],[ID ROW]]+INT((Table1[[#This Row],[ID ROW]]-1)/12)*2)</f>
        <v>8</v>
      </c>
      <c r="N563" s="10" t="str">
        <f t="shared" si="39"/>
        <v>LSR8B1</v>
      </c>
      <c r="O563" s="10">
        <f>IF(Table1[[#This Row],[ID ROW]]&lt;=12,1,INT((Table1[[#This Row],[ID ROW]]-1)/12)+1)</f>
        <v>1</v>
      </c>
      <c r="P563" s="10">
        <f>Table1[[#This Row],[ID ROW]]-((Table1[[#This Row],[SECT]]-1)*12)</f>
        <v>8</v>
      </c>
    </row>
    <row r="564" spans="1:16" ht="15.75" customHeight="1" x14ac:dyDescent="0.3">
      <c r="A564" s="6" t="s">
        <v>2041</v>
      </c>
      <c r="F564" s="13" t="s">
        <v>2042</v>
      </c>
      <c r="G564" s="8">
        <v>41</v>
      </c>
      <c r="H564" s="21" t="s">
        <v>1898</v>
      </c>
      <c r="I564" s="9">
        <f t="shared" si="38"/>
        <v>8</v>
      </c>
      <c r="J564" s="9">
        <f t="shared" si="37"/>
        <v>2</v>
      </c>
      <c r="K564" s="10" t="str">
        <f t="shared" si="35"/>
        <v>S2R8B2</v>
      </c>
      <c r="L564" s="10" t="s">
        <v>1899</v>
      </c>
      <c r="M564" s="10">
        <f>IF(Table1[[#This Row],[ID ROW]]&lt;=12,Table1[[#This Row],[ID ROW]],Table1[[#This Row],[ID ROW]]+INT((Table1[[#This Row],[ID ROW]]-1)/12)*2)</f>
        <v>8</v>
      </c>
      <c r="N564" s="10" t="str">
        <f t="shared" si="39"/>
        <v>LSR8B2</v>
      </c>
      <c r="O564" s="10">
        <f>IF(Table1[[#This Row],[ID ROW]]&lt;=12,1,INT((Table1[[#This Row],[ID ROW]]-1)/12)+1)</f>
        <v>1</v>
      </c>
      <c r="P564" s="10">
        <f>Table1[[#This Row],[ID ROW]]-((Table1[[#This Row],[SECT]]-1)*12)</f>
        <v>8</v>
      </c>
    </row>
    <row r="565" spans="1:16" ht="15.75" customHeight="1" x14ac:dyDescent="0.25">
      <c r="A565" s="6" t="s">
        <v>250</v>
      </c>
      <c r="B565" s="6" t="s">
        <v>2043</v>
      </c>
      <c r="D565" s="6" t="s">
        <v>2044</v>
      </c>
      <c r="F565" s="7" t="s">
        <v>2045</v>
      </c>
      <c r="G565" s="8">
        <v>42</v>
      </c>
      <c r="H565" s="21" t="s">
        <v>1898</v>
      </c>
      <c r="I565" s="9">
        <f t="shared" si="38"/>
        <v>8</v>
      </c>
      <c r="J565" s="9">
        <f t="shared" si="37"/>
        <v>3</v>
      </c>
      <c r="K565" s="10" t="str">
        <f t="shared" si="35"/>
        <v>S2R8B3</v>
      </c>
      <c r="L565" s="10" t="s">
        <v>1899</v>
      </c>
      <c r="M565" s="10">
        <f>IF(Table1[[#This Row],[ID ROW]]&lt;=12,Table1[[#This Row],[ID ROW]],Table1[[#This Row],[ID ROW]]+INT((Table1[[#This Row],[ID ROW]]-1)/12)*2)</f>
        <v>8</v>
      </c>
      <c r="N565" s="10" t="str">
        <f t="shared" si="39"/>
        <v>LSR8B3</v>
      </c>
      <c r="O565" s="10">
        <f>IF(Table1[[#This Row],[ID ROW]]&lt;=12,1,INT((Table1[[#This Row],[ID ROW]]-1)/12)+1)</f>
        <v>1</v>
      </c>
      <c r="P565" s="10">
        <f>Table1[[#This Row],[ID ROW]]-((Table1[[#This Row],[SECT]]-1)*12)</f>
        <v>8</v>
      </c>
    </row>
    <row r="566" spans="1:16" ht="15.75" customHeight="1" x14ac:dyDescent="0.3">
      <c r="A566" s="6" t="s">
        <v>2046</v>
      </c>
      <c r="B566" s="6" t="s">
        <v>2047</v>
      </c>
      <c r="C566" s="6" t="s">
        <v>2048</v>
      </c>
      <c r="F566" s="13" t="s">
        <v>2049</v>
      </c>
      <c r="G566" s="8">
        <v>43</v>
      </c>
      <c r="H566" s="21" t="s">
        <v>1898</v>
      </c>
      <c r="I566" s="9">
        <f t="shared" si="38"/>
        <v>8</v>
      </c>
      <c r="J566" s="9">
        <f t="shared" si="37"/>
        <v>4</v>
      </c>
      <c r="K566" s="10" t="str">
        <f t="shared" si="35"/>
        <v>S2R8B4</v>
      </c>
      <c r="L566" s="10" t="s">
        <v>1899</v>
      </c>
      <c r="M566" s="10">
        <f>IF(Table1[[#This Row],[ID ROW]]&lt;=12,Table1[[#This Row],[ID ROW]],Table1[[#This Row],[ID ROW]]+INT((Table1[[#This Row],[ID ROW]]-1)/12)*2)</f>
        <v>8</v>
      </c>
      <c r="N566" s="10" t="str">
        <f t="shared" si="39"/>
        <v>LSR8B4</v>
      </c>
      <c r="O566" s="10">
        <f>IF(Table1[[#This Row],[ID ROW]]&lt;=12,1,INT((Table1[[#This Row],[ID ROW]]-1)/12)+1)</f>
        <v>1</v>
      </c>
      <c r="P566" s="10">
        <f>Table1[[#This Row],[ID ROW]]-((Table1[[#This Row],[SECT]]-1)*12)</f>
        <v>8</v>
      </c>
    </row>
    <row r="567" spans="1:16" ht="15.75" customHeight="1" x14ac:dyDescent="0.25">
      <c r="A567" s="6" t="s">
        <v>2050</v>
      </c>
      <c r="B567" s="6" t="s">
        <v>2051</v>
      </c>
      <c r="C567" s="6" t="s">
        <v>318</v>
      </c>
      <c r="F567" s="7" t="s">
        <v>2052</v>
      </c>
      <c r="G567" s="8">
        <v>44</v>
      </c>
      <c r="H567" s="21" t="s">
        <v>1898</v>
      </c>
      <c r="I567" s="9">
        <f t="shared" si="38"/>
        <v>8</v>
      </c>
      <c r="J567" s="9">
        <f t="shared" si="37"/>
        <v>5</v>
      </c>
      <c r="K567" s="10" t="str">
        <f t="shared" si="35"/>
        <v>S2R8B5</v>
      </c>
      <c r="L567" s="10" t="s">
        <v>1899</v>
      </c>
      <c r="M567" s="10">
        <f>IF(Table1[[#This Row],[ID ROW]]&lt;=12,Table1[[#This Row],[ID ROW]],Table1[[#This Row],[ID ROW]]+INT((Table1[[#This Row],[ID ROW]]-1)/12)*2)</f>
        <v>8</v>
      </c>
      <c r="N567" s="10" t="str">
        <f t="shared" si="39"/>
        <v>LSR8B5</v>
      </c>
      <c r="O567" s="10">
        <f>IF(Table1[[#This Row],[ID ROW]]&lt;=12,1,INT((Table1[[#This Row],[ID ROW]]-1)/12)+1)</f>
        <v>1</v>
      </c>
      <c r="P567" s="10">
        <f>Table1[[#This Row],[ID ROW]]-((Table1[[#This Row],[SECT]]-1)*12)</f>
        <v>8</v>
      </c>
    </row>
    <row r="568" spans="1:16" ht="15.75" customHeight="1" x14ac:dyDescent="0.3">
      <c r="A568" s="6" t="s">
        <v>799</v>
      </c>
      <c r="B568" s="6" t="s">
        <v>2053</v>
      </c>
      <c r="C568" s="6" t="s">
        <v>2054</v>
      </c>
      <c r="F568" s="13" t="s">
        <v>2055</v>
      </c>
      <c r="G568" s="8">
        <v>45</v>
      </c>
      <c r="H568" s="21" t="s">
        <v>1898</v>
      </c>
      <c r="I568" s="9">
        <f t="shared" si="38"/>
        <v>9</v>
      </c>
      <c r="J568" s="9">
        <f t="shared" si="37"/>
        <v>1</v>
      </c>
      <c r="K568" s="10" t="str">
        <f t="shared" si="35"/>
        <v>S2R9B1</v>
      </c>
      <c r="L568" s="10" t="s">
        <v>1899</v>
      </c>
      <c r="M568" s="10">
        <f>IF(Table1[[#This Row],[ID ROW]]&lt;=12,Table1[[#This Row],[ID ROW]],Table1[[#This Row],[ID ROW]]+INT((Table1[[#This Row],[ID ROW]]-1)/12)*2)</f>
        <v>9</v>
      </c>
      <c r="N568" s="10" t="str">
        <f t="shared" si="39"/>
        <v>LSR9B1</v>
      </c>
      <c r="O568" s="10">
        <f>IF(Table1[[#This Row],[ID ROW]]&lt;=12,1,INT((Table1[[#This Row],[ID ROW]]-1)/12)+1)</f>
        <v>1</v>
      </c>
      <c r="P568" s="10">
        <f>Table1[[#This Row],[ID ROW]]-((Table1[[#This Row],[SECT]]-1)*12)</f>
        <v>9</v>
      </c>
    </row>
    <row r="569" spans="1:16" ht="15.75" customHeight="1" x14ac:dyDescent="0.25">
      <c r="A569" s="6" t="s">
        <v>2056</v>
      </c>
      <c r="B569" s="6" t="s">
        <v>2057</v>
      </c>
      <c r="C569" s="6" t="s">
        <v>143</v>
      </c>
      <c r="D569" s="6" t="s">
        <v>2058</v>
      </c>
      <c r="F569" s="7" t="s">
        <v>2059</v>
      </c>
      <c r="G569" s="8">
        <v>46</v>
      </c>
      <c r="H569" s="21" t="s">
        <v>1898</v>
      </c>
      <c r="I569" s="9">
        <f t="shared" si="38"/>
        <v>9</v>
      </c>
      <c r="J569" s="9">
        <f t="shared" si="37"/>
        <v>2</v>
      </c>
      <c r="K569" s="10" t="str">
        <f t="shared" si="35"/>
        <v>S2R9B2</v>
      </c>
      <c r="L569" s="10" t="s">
        <v>1899</v>
      </c>
      <c r="M569" s="10">
        <f>IF(Table1[[#This Row],[ID ROW]]&lt;=12,Table1[[#This Row],[ID ROW]],Table1[[#This Row],[ID ROW]]+INT((Table1[[#This Row],[ID ROW]]-1)/12)*2)</f>
        <v>9</v>
      </c>
      <c r="N569" s="10" t="str">
        <f t="shared" si="39"/>
        <v>LSR9B2</v>
      </c>
      <c r="O569" s="10">
        <f>IF(Table1[[#This Row],[ID ROW]]&lt;=12,1,INT((Table1[[#This Row],[ID ROW]]-1)/12)+1)</f>
        <v>1</v>
      </c>
      <c r="P569" s="10">
        <f>Table1[[#This Row],[ID ROW]]-((Table1[[#This Row],[SECT]]-1)*12)</f>
        <v>9</v>
      </c>
    </row>
    <row r="570" spans="1:16" ht="15.75" customHeight="1" x14ac:dyDescent="0.3">
      <c r="A570" s="6" t="s">
        <v>2060</v>
      </c>
      <c r="B570" s="6" t="s">
        <v>2061</v>
      </c>
      <c r="C570" s="6" t="s">
        <v>2062</v>
      </c>
      <c r="F570" s="13" t="s">
        <v>2063</v>
      </c>
      <c r="G570" s="8">
        <v>47</v>
      </c>
      <c r="H570" s="21" t="s">
        <v>1898</v>
      </c>
      <c r="I570" s="9">
        <f t="shared" si="38"/>
        <v>9</v>
      </c>
      <c r="J570" s="9">
        <f t="shared" si="37"/>
        <v>3</v>
      </c>
      <c r="K570" s="10" t="str">
        <f t="shared" si="35"/>
        <v>S2R9B3</v>
      </c>
      <c r="L570" s="10" t="s">
        <v>1899</v>
      </c>
      <c r="M570" s="10">
        <f>IF(Table1[[#This Row],[ID ROW]]&lt;=12,Table1[[#This Row],[ID ROW]],Table1[[#This Row],[ID ROW]]+INT((Table1[[#This Row],[ID ROW]]-1)/12)*2)</f>
        <v>9</v>
      </c>
      <c r="N570" s="10" t="str">
        <f t="shared" si="39"/>
        <v>LSR9B3</v>
      </c>
      <c r="O570" s="10">
        <f>IF(Table1[[#This Row],[ID ROW]]&lt;=12,1,INT((Table1[[#This Row],[ID ROW]]-1)/12)+1)</f>
        <v>1</v>
      </c>
      <c r="P570" s="10">
        <f>Table1[[#This Row],[ID ROW]]-((Table1[[#This Row],[SECT]]-1)*12)</f>
        <v>9</v>
      </c>
    </row>
    <row r="571" spans="1:16" ht="15.75" customHeight="1" x14ac:dyDescent="0.25">
      <c r="A571" s="6" t="s">
        <v>2064</v>
      </c>
      <c r="B571" s="6" t="s">
        <v>2065</v>
      </c>
      <c r="C571" s="6" t="s">
        <v>2066</v>
      </c>
      <c r="F571" s="7" t="s">
        <v>2063</v>
      </c>
      <c r="G571" s="8">
        <v>48</v>
      </c>
      <c r="H571" s="21" t="s">
        <v>1898</v>
      </c>
      <c r="I571" s="9">
        <f t="shared" si="38"/>
        <v>9</v>
      </c>
      <c r="J571" s="9">
        <f t="shared" si="37"/>
        <v>4</v>
      </c>
      <c r="K571" s="10" t="str">
        <f t="shared" si="35"/>
        <v>S2R9B4</v>
      </c>
      <c r="L571" s="10" t="s">
        <v>1899</v>
      </c>
      <c r="M571" s="10">
        <f>IF(Table1[[#This Row],[ID ROW]]&lt;=12,Table1[[#This Row],[ID ROW]],Table1[[#This Row],[ID ROW]]+INT((Table1[[#This Row],[ID ROW]]-1)/12)*2)</f>
        <v>9</v>
      </c>
      <c r="N571" s="10" t="str">
        <f t="shared" si="39"/>
        <v>LSR9B4</v>
      </c>
      <c r="O571" s="10">
        <f>IF(Table1[[#This Row],[ID ROW]]&lt;=12,1,INT((Table1[[#This Row],[ID ROW]]-1)/12)+1)</f>
        <v>1</v>
      </c>
      <c r="P571" s="10">
        <f>Table1[[#This Row],[ID ROW]]-((Table1[[#This Row],[SECT]]-1)*12)</f>
        <v>9</v>
      </c>
    </row>
    <row r="572" spans="1:16" ht="15.75" customHeight="1" x14ac:dyDescent="0.3">
      <c r="A572" s="6" t="s">
        <v>2067</v>
      </c>
      <c r="B572" s="6" t="s">
        <v>2068</v>
      </c>
      <c r="C572" s="6" t="s">
        <v>1500</v>
      </c>
      <c r="F572" s="13" t="s">
        <v>2063</v>
      </c>
      <c r="G572" s="8">
        <v>49</v>
      </c>
      <c r="H572" s="21" t="s">
        <v>1898</v>
      </c>
      <c r="I572" s="9">
        <f t="shared" si="38"/>
        <v>9</v>
      </c>
      <c r="J572" s="9">
        <f t="shared" si="37"/>
        <v>5</v>
      </c>
      <c r="K572" s="10" t="str">
        <f t="shared" si="35"/>
        <v>S2R9B5</v>
      </c>
      <c r="L572" s="10" t="s">
        <v>1899</v>
      </c>
      <c r="M572" s="10">
        <f>IF(Table1[[#This Row],[ID ROW]]&lt;=12,Table1[[#This Row],[ID ROW]],Table1[[#This Row],[ID ROW]]+INT((Table1[[#This Row],[ID ROW]]-1)/12)*2)</f>
        <v>9</v>
      </c>
      <c r="N572" s="10" t="str">
        <f t="shared" si="39"/>
        <v>LSR9B5</v>
      </c>
      <c r="O572" s="10">
        <f>IF(Table1[[#This Row],[ID ROW]]&lt;=12,1,INT((Table1[[#This Row],[ID ROW]]-1)/12)+1)</f>
        <v>1</v>
      </c>
      <c r="P572" s="10">
        <f>Table1[[#This Row],[ID ROW]]-((Table1[[#This Row],[SECT]]-1)*12)</f>
        <v>9</v>
      </c>
    </row>
    <row r="573" spans="1:16" ht="15.75" customHeight="1" x14ac:dyDescent="0.25">
      <c r="A573" s="6" t="s">
        <v>2069</v>
      </c>
      <c r="B573" s="6" t="s">
        <v>2070</v>
      </c>
      <c r="C573" s="6" t="s">
        <v>2071</v>
      </c>
      <c r="D573" s="6" t="s">
        <v>2072</v>
      </c>
      <c r="F573" s="7" t="s">
        <v>2073</v>
      </c>
      <c r="G573" s="8">
        <v>50</v>
      </c>
      <c r="H573" s="21" t="s">
        <v>1898</v>
      </c>
      <c r="I573" s="9">
        <f t="shared" si="38"/>
        <v>9</v>
      </c>
      <c r="J573" s="9">
        <f t="shared" si="37"/>
        <v>6</v>
      </c>
      <c r="K573" s="10" t="str">
        <f t="shared" si="35"/>
        <v>S2R9B6</v>
      </c>
      <c r="L573" s="10" t="s">
        <v>1899</v>
      </c>
      <c r="M573" s="10">
        <f>IF(Table1[[#This Row],[ID ROW]]&lt;=12,Table1[[#This Row],[ID ROW]],Table1[[#This Row],[ID ROW]]+INT((Table1[[#This Row],[ID ROW]]-1)/12)*2)</f>
        <v>9</v>
      </c>
      <c r="N573" s="10" t="str">
        <f t="shared" si="39"/>
        <v>LSR9B6</v>
      </c>
      <c r="O573" s="10">
        <f>IF(Table1[[#This Row],[ID ROW]]&lt;=12,1,INT((Table1[[#This Row],[ID ROW]]-1)/12)+1)</f>
        <v>1</v>
      </c>
      <c r="P573" s="10">
        <f>Table1[[#This Row],[ID ROW]]-((Table1[[#This Row],[SECT]]-1)*12)</f>
        <v>9</v>
      </c>
    </row>
    <row r="574" spans="1:16" ht="15.75" customHeight="1" x14ac:dyDescent="0.3">
      <c r="A574" s="6" t="s">
        <v>2074</v>
      </c>
      <c r="B574" s="6" t="s">
        <v>2075</v>
      </c>
      <c r="C574" s="6" t="s">
        <v>2076</v>
      </c>
      <c r="F574" s="13" t="s">
        <v>2077</v>
      </c>
      <c r="G574" s="8">
        <v>51</v>
      </c>
      <c r="H574" s="21" t="s">
        <v>1898</v>
      </c>
      <c r="I574" s="9">
        <f t="shared" si="38"/>
        <v>10</v>
      </c>
      <c r="J574" s="9">
        <f t="shared" si="37"/>
        <v>1</v>
      </c>
      <c r="K574" s="10" t="str">
        <f t="shared" si="35"/>
        <v>S2R10B1</v>
      </c>
      <c r="L574" s="10" t="s">
        <v>1899</v>
      </c>
      <c r="M574" s="10">
        <f>IF(Table1[[#This Row],[ID ROW]]&lt;=12,Table1[[#This Row],[ID ROW]],Table1[[#This Row],[ID ROW]]+INT((Table1[[#This Row],[ID ROW]]-1)/12)*2)</f>
        <v>10</v>
      </c>
      <c r="N574" s="10" t="str">
        <f t="shared" si="39"/>
        <v>LSR10B1</v>
      </c>
      <c r="O574" s="10">
        <f>IF(Table1[[#This Row],[ID ROW]]&lt;=12,1,INT((Table1[[#This Row],[ID ROW]]-1)/12)+1)</f>
        <v>1</v>
      </c>
      <c r="P574" s="10">
        <f>Table1[[#This Row],[ID ROW]]-((Table1[[#This Row],[SECT]]-1)*12)</f>
        <v>10</v>
      </c>
    </row>
    <row r="575" spans="1:16" ht="15.75" customHeight="1" x14ac:dyDescent="0.25">
      <c r="A575" s="6" t="s">
        <v>2078</v>
      </c>
      <c r="B575" s="6" t="s">
        <v>2079</v>
      </c>
      <c r="C575" s="6" t="s">
        <v>2080</v>
      </c>
      <c r="F575" s="7" t="s">
        <v>2081</v>
      </c>
      <c r="G575" s="8">
        <v>52</v>
      </c>
      <c r="H575" s="21" t="s">
        <v>1898</v>
      </c>
      <c r="I575" s="9">
        <f t="shared" si="38"/>
        <v>10</v>
      </c>
      <c r="J575" s="9">
        <f t="shared" si="37"/>
        <v>2</v>
      </c>
      <c r="K575" s="10" t="str">
        <f t="shared" si="35"/>
        <v>S2R10B2</v>
      </c>
      <c r="L575" s="10" t="s">
        <v>1899</v>
      </c>
      <c r="M575" s="10">
        <f>IF(Table1[[#This Row],[ID ROW]]&lt;=12,Table1[[#This Row],[ID ROW]],Table1[[#This Row],[ID ROW]]+INT((Table1[[#This Row],[ID ROW]]-1)/12)*2)</f>
        <v>10</v>
      </c>
      <c r="N575" s="10" t="str">
        <f t="shared" si="39"/>
        <v>LSR10B2</v>
      </c>
      <c r="O575" s="10">
        <f>IF(Table1[[#This Row],[ID ROW]]&lt;=12,1,INT((Table1[[#This Row],[ID ROW]]-1)/12)+1)</f>
        <v>1</v>
      </c>
      <c r="P575" s="10">
        <f>Table1[[#This Row],[ID ROW]]-((Table1[[#This Row],[SECT]]-1)*12)</f>
        <v>10</v>
      </c>
    </row>
    <row r="576" spans="1:16" ht="15.75" customHeight="1" x14ac:dyDescent="0.3">
      <c r="A576" s="6" t="s">
        <v>2082</v>
      </c>
      <c r="B576" s="6" t="s">
        <v>213</v>
      </c>
      <c r="C576" s="6" t="s">
        <v>214</v>
      </c>
      <c r="F576" s="13" t="s">
        <v>2083</v>
      </c>
      <c r="G576" s="8">
        <v>53</v>
      </c>
      <c r="H576" s="21" t="s">
        <v>1898</v>
      </c>
      <c r="I576" s="9">
        <f t="shared" si="38"/>
        <v>10</v>
      </c>
      <c r="J576" s="9">
        <f t="shared" si="37"/>
        <v>3</v>
      </c>
      <c r="K576" s="10" t="str">
        <f t="shared" si="35"/>
        <v>S2R10B3</v>
      </c>
      <c r="L576" s="10" t="s">
        <v>1899</v>
      </c>
      <c r="M576" s="10">
        <f>IF(Table1[[#This Row],[ID ROW]]&lt;=12,Table1[[#This Row],[ID ROW]],Table1[[#This Row],[ID ROW]]+INT((Table1[[#This Row],[ID ROW]]-1)/12)*2)</f>
        <v>10</v>
      </c>
      <c r="N576" s="10" t="str">
        <f t="shared" si="39"/>
        <v>LSR10B3</v>
      </c>
      <c r="O576" s="10">
        <f>IF(Table1[[#This Row],[ID ROW]]&lt;=12,1,INT((Table1[[#This Row],[ID ROW]]-1)/12)+1)</f>
        <v>1</v>
      </c>
      <c r="P576" s="10">
        <f>Table1[[#This Row],[ID ROW]]-((Table1[[#This Row],[SECT]]-1)*12)</f>
        <v>10</v>
      </c>
    </row>
    <row r="577" spans="1:16" ht="15.75" customHeight="1" x14ac:dyDescent="0.25">
      <c r="A577" s="6" t="s">
        <v>2084</v>
      </c>
      <c r="B577" s="6" t="s">
        <v>1028</v>
      </c>
      <c r="C577" s="6" t="s">
        <v>2085</v>
      </c>
      <c r="F577" s="7" t="s">
        <v>2086</v>
      </c>
      <c r="G577" s="8">
        <v>54</v>
      </c>
      <c r="H577" s="21" t="s">
        <v>1898</v>
      </c>
      <c r="I577" s="9">
        <f t="shared" si="38"/>
        <v>10</v>
      </c>
      <c r="J577" s="9">
        <f t="shared" si="37"/>
        <v>4</v>
      </c>
      <c r="K577" s="10" t="str">
        <f t="shared" ref="K577:K640" si="40">H577&amp;"R"&amp;I577&amp;"B"&amp;J577</f>
        <v>S2R10B4</v>
      </c>
      <c r="L577" s="10" t="s">
        <v>1899</v>
      </c>
      <c r="M577" s="10">
        <f>IF(Table1[[#This Row],[ID ROW]]&lt;=12,Table1[[#This Row],[ID ROW]],Table1[[#This Row],[ID ROW]]+INT((Table1[[#This Row],[ID ROW]]-1)/12)*2)</f>
        <v>10</v>
      </c>
      <c r="N577" s="10" t="str">
        <f t="shared" si="39"/>
        <v>LSR10B4</v>
      </c>
      <c r="O577" s="10">
        <f>IF(Table1[[#This Row],[ID ROW]]&lt;=12,1,INT((Table1[[#This Row],[ID ROW]]-1)/12)+1)</f>
        <v>1</v>
      </c>
      <c r="P577" s="10">
        <f>Table1[[#This Row],[ID ROW]]-((Table1[[#This Row],[SECT]]-1)*12)</f>
        <v>10</v>
      </c>
    </row>
    <row r="578" spans="1:16" ht="15.75" customHeight="1" x14ac:dyDescent="0.3">
      <c r="A578" s="6" t="s">
        <v>2087</v>
      </c>
      <c r="B578" s="6" t="s">
        <v>2088</v>
      </c>
      <c r="C578" s="6" t="s">
        <v>2089</v>
      </c>
      <c r="F578" s="13" t="s">
        <v>2090</v>
      </c>
      <c r="G578" s="8">
        <v>55</v>
      </c>
      <c r="H578" s="21" t="s">
        <v>1898</v>
      </c>
      <c r="I578" s="9">
        <f t="shared" si="38"/>
        <v>10</v>
      </c>
      <c r="J578" s="9">
        <f t="shared" si="37"/>
        <v>5</v>
      </c>
      <c r="K578" s="10" t="str">
        <f t="shared" si="40"/>
        <v>S2R10B5</v>
      </c>
      <c r="L578" s="10" t="s">
        <v>1899</v>
      </c>
      <c r="M578" s="10">
        <f>IF(Table1[[#This Row],[ID ROW]]&lt;=12,Table1[[#This Row],[ID ROW]],Table1[[#This Row],[ID ROW]]+INT((Table1[[#This Row],[ID ROW]]-1)/12)*2)</f>
        <v>10</v>
      </c>
      <c r="N578" s="10" t="str">
        <f t="shared" si="39"/>
        <v>LSR10B5</v>
      </c>
      <c r="O578" s="10">
        <f>IF(Table1[[#This Row],[ID ROW]]&lt;=12,1,INT((Table1[[#This Row],[ID ROW]]-1)/12)+1)</f>
        <v>1</v>
      </c>
      <c r="P578" s="10">
        <f>Table1[[#This Row],[ID ROW]]-((Table1[[#This Row],[SECT]]-1)*12)</f>
        <v>10</v>
      </c>
    </row>
    <row r="579" spans="1:16" ht="15.75" customHeight="1" x14ac:dyDescent="0.25">
      <c r="A579" s="6" t="s">
        <v>2091</v>
      </c>
      <c r="B579" s="6" t="s">
        <v>2092</v>
      </c>
      <c r="C579" s="6" t="s">
        <v>2093</v>
      </c>
      <c r="F579" s="7" t="s">
        <v>2094</v>
      </c>
      <c r="G579" s="8">
        <v>56</v>
      </c>
      <c r="H579" s="21" t="s">
        <v>1898</v>
      </c>
      <c r="I579" s="9">
        <f t="shared" si="38"/>
        <v>11</v>
      </c>
      <c r="J579" s="9">
        <f t="shared" si="37"/>
        <v>1</v>
      </c>
      <c r="K579" s="10" t="str">
        <f t="shared" si="40"/>
        <v>S2R11B1</v>
      </c>
      <c r="L579" s="10" t="s">
        <v>1899</v>
      </c>
      <c r="M579" s="10">
        <f>IF(Table1[[#This Row],[ID ROW]]&lt;=12,Table1[[#This Row],[ID ROW]],Table1[[#This Row],[ID ROW]]+INT((Table1[[#This Row],[ID ROW]]-1)/12)*2)</f>
        <v>11</v>
      </c>
      <c r="N579" s="10" t="str">
        <f t="shared" si="39"/>
        <v>LSR11B1</v>
      </c>
      <c r="O579" s="10">
        <f>IF(Table1[[#This Row],[ID ROW]]&lt;=12,1,INT((Table1[[#This Row],[ID ROW]]-1)/12)+1)</f>
        <v>1</v>
      </c>
      <c r="P579" s="10">
        <f>Table1[[#This Row],[ID ROW]]-((Table1[[#This Row],[SECT]]-1)*12)</f>
        <v>11</v>
      </c>
    </row>
    <row r="580" spans="1:16" ht="15.75" customHeight="1" x14ac:dyDescent="0.3">
      <c r="A580" s="6" t="s">
        <v>2095</v>
      </c>
      <c r="B580" s="6" t="s">
        <v>2096</v>
      </c>
      <c r="C580" s="6" t="s">
        <v>2097</v>
      </c>
      <c r="F580" s="13" t="s">
        <v>2094</v>
      </c>
      <c r="G580" s="8">
        <v>57</v>
      </c>
      <c r="H580" s="21" t="s">
        <v>1898</v>
      </c>
      <c r="I580" s="9">
        <f t="shared" si="38"/>
        <v>11</v>
      </c>
      <c r="J580" s="9">
        <f t="shared" si="37"/>
        <v>2</v>
      </c>
      <c r="K580" s="10" t="str">
        <f t="shared" si="40"/>
        <v>S2R11B2</v>
      </c>
      <c r="L580" s="10" t="s">
        <v>1899</v>
      </c>
      <c r="M580" s="10">
        <f>IF(Table1[[#This Row],[ID ROW]]&lt;=12,Table1[[#This Row],[ID ROW]],Table1[[#This Row],[ID ROW]]+INT((Table1[[#This Row],[ID ROW]]-1)/12)*2)</f>
        <v>11</v>
      </c>
      <c r="N580" s="10" t="str">
        <f t="shared" si="39"/>
        <v>LSR11B2</v>
      </c>
      <c r="O580" s="10">
        <f>IF(Table1[[#This Row],[ID ROW]]&lt;=12,1,INT((Table1[[#This Row],[ID ROW]]-1)/12)+1)</f>
        <v>1</v>
      </c>
      <c r="P580" s="10">
        <f>Table1[[#This Row],[ID ROW]]-((Table1[[#This Row],[SECT]]-1)*12)</f>
        <v>11</v>
      </c>
    </row>
    <row r="581" spans="1:16" ht="15.75" customHeight="1" x14ac:dyDescent="0.25">
      <c r="A581" s="6" t="s">
        <v>2098</v>
      </c>
      <c r="B581" s="6" t="s">
        <v>279</v>
      </c>
      <c r="C581" s="6" t="s">
        <v>2099</v>
      </c>
      <c r="F581" s="7" t="s">
        <v>2094</v>
      </c>
      <c r="G581" s="8">
        <v>58</v>
      </c>
      <c r="H581" s="21" t="s">
        <v>1898</v>
      </c>
      <c r="I581" s="9">
        <f t="shared" si="38"/>
        <v>11</v>
      </c>
      <c r="J581" s="9">
        <f t="shared" si="37"/>
        <v>3</v>
      </c>
      <c r="K581" s="10" t="str">
        <f t="shared" si="40"/>
        <v>S2R11B3</v>
      </c>
      <c r="L581" s="10" t="s">
        <v>1899</v>
      </c>
      <c r="M581" s="10">
        <f>IF(Table1[[#This Row],[ID ROW]]&lt;=12,Table1[[#This Row],[ID ROW]],Table1[[#This Row],[ID ROW]]+INT((Table1[[#This Row],[ID ROW]]-1)/12)*2)</f>
        <v>11</v>
      </c>
      <c r="N581" s="10" t="str">
        <f t="shared" si="39"/>
        <v>LSR11B3</v>
      </c>
      <c r="O581" s="10">
        <f>IF(Table1[[#This Row],[ID ROW]]&lt;=12,1,INT((Table1[[#This Row],[ID ROW]]-1)/12)+1)</f>
        <v>1</v>
      </c>
      <c r="P581" s="10">
        <f>Table1[[#This Row],[ID ROW]]-((Table1[[#This Row],[SECT]]-1)*12)</f>
        <v>11</v>
      </c>
    </row>
    <row r="582" spans="1:16" ht="15.75" customHeight="1" x14ac:dyDescent="0.3">
      <c r="A582" s="6" t="s">
        <v>2100</v>
      </c>
      <c r="B582" s="6" t="s">
        <v>2101</v>
      </c>
      <c r="F582" s="13" t="s">
        <v>2102</v>
      </c>
      <c r="G582" s="8">
        <v>59</v>
      </c>
      <c r="H582" s="21" t="s">
        <v>1898</v>
      </c>
      <c r="I582" s="9">
        <f t="shared" si="38"/>
        <v>11</v>
      </c>
      <c r="J582" s="9">
        <f t="shared" si="37"/>
        <v>4</v>
      </c>
      <c r="K582" s="10" t="str">
        <f t="shared" si="40"/>
        <v>S2R11B4</v>
      </c>
      <c r="L582" s="10" t="s">
        <v>1899</v>
      </c>
      <c r="M582" s="10">
        <f>IF(Table1[[#This Row],[ID ROW]]&lt;=12,Table1[[#This Row],[ID ROW]],Table1[[#This Row],[ID ROW]]+INT((Table1[[#This Row],[ID ROW]]-1)/12)*2)</f>
        <v>11</v>
      </c>
      <c r="N582" s="10" t="str">
        <f t="shared" si="39"/>
        <v>LSR11B4</v>
      </c>
      <c r="O582" s="10">
        <f>IF(Table1[[#This Row],[ID ROW]]&lt;=12,1,INT((Table1[[#This Row],[ID ROW]]-1)/12)+1)</f>
        <v>1</v>
      </c>
      <c r="P582" s="10">
        <f>Table1[[#This Row],[ID ROW]]-((Table1[[#This Row],[SECT]]-1)*12)</f>
        <v>11</v>
      </c>
    </row>
    <row r="583" spans="1:16" ht="15.75" customHeight="1" x14ac:dyDescent="0.25">
      <c r="A583" s="6" t="s">
        <v>2103</v>
      </c>
      <c r="B583" s="6" t="s">
        <v>2104</v>
      </c>
      <c r="C583" s="6" t="s">
        <v>2105</v>
      </c>
      <c r="D583" s="6" t="s">
        <v>1204</v>
      </c>
      <c r="F583" s="7" t="s">
        <v>2106</v>
      </c>
      <c r="G583" s="8">
        <v>60</v>
      </c>
      <c r="H583" s="21" t="s">
        <v>1898</v>
      </c>
      <c r="I583" s="9">
        <f t="shared" si="38"/>
        <v>11</v>
      </c>
      <c r="J583" s="9">
        <f t="shared" si="37"/>
        <v>5</v>
      </c>
      <c r="K583" s="10" t="str">
        <f t="shared" si="40"/>
        <v>S2R11B5</v>
      </c>
      <c r="L583" s="10" t="s">
        <v>1899</v>
      </c>
      <c r="M583" s="10">
        <f>IF(Table1[[#This Row],[ID ROW]]&lt;=12,Table1[[#This Row],[ID ROW]],Table1[[#This Row],[ID ROW]]+INT((Table1[[#This Row],[ID ROW]]-1)/12)*2)</f>
        <v>11</v>
      </c>
      <c r="N583" s="10" t="str">
        <f t="shared" si="39"/>
        <v>LSR11B5</v>
      </c>
      <c r="O583" s="10">
        <f>IF(Table1[[#This Row],[ID ROW]]&lt;=12,1,INT((Table1[[#This Row],[ID ROW]]-1)/12)+1)</f>
        <v>1</v>
      </c>
      <c r="P583" s="10">
        <f>Table1[[#This Row],[ID ROW]]-((Table1[[#This Row],[SECT]]-1)*12)</f>
        <v>11</v>
      </c>
    </row>
    <row r="584" spans="1:16" ht="15.75" customHeight="1" x14ac:dyDescent="0.3">
      <c r="A584" s="6" t="s">
        <v>165</v>
      </c>
      <c r="B584" s="6" t="s">
        <v>2107</v>
      </c>
      <c r="C584" s="6" t="s">
        <v>2108</v>
      </c>
      <c r="D584" s="6" t="s">
        <v>2109</v>
      </c>
      <c r="F584" s="13" t="s">
        <v>2110</v>
      </c>
      <c r="G584" s="8">
        <v>61</v>
      </c>
      <c r="H584" s="21" t="s">
        <v>1898</v>
      </c>
      <c r="I584" s="9">
        <f t="shared" si="38"/>
        <v>11</v>
      </c>
      <c r="J584" s="9">
        <f t="shared" si="37"/>
        <v>6</v>
      </c>
      <c r="K584" s="10" t="str">
        <f t="shared" si="40"/>
        <v>S2R11B6</v>
      </c>
      <c r="L584" s="10" t="s">
        <v>1899</v>
      </c>
      <c r="M584" s="10">
        <f>IF(Table1[[#This Row],[ID ROW]]&lt;=12,Table1[[#This Row],[ID ROW]],Table1[[#This Row],[ID ROW]]+INT((Table1[[#This Row],[ID ROW]]-1)/12)*2)</f>
        <v>11</v>
      </c>
      <c r="N584" s="10" t="str">
        <f t="shared" si="39"/>
        <v>LSR11B6</v>
      </c>
      <c r="O584" s="10">
        <f>IF(Table1[[#This Row],[ID ROW]]&lt;=12,1,INT((Table1[[#This Row],[ID ROW]]-1)/12)+1)</f>
        <v>1</v>
      </c>
      <c r="P584" s="10">
        <f>Table1[[#This Row],[ID ROW]]-((Table1[[#This Row],[SECT]]-1)*12)</f>
        <v>11</v>
      </c>
    </row>
    <row r="585" spans="1:16" ht="15.75" customHeight="1" x14ac:dyDescent="0.25">
      <c r="A585" s="6" t="s">
        <v>2111</v>
      </c>
      <c r="B585" s="6" t="s">
        <v>2112</v>
      </c>
      <c r="C585" s="6" t="s">
        <v>2113</v>
      </c>
      <c r="F585" s="7" t="s">
        <v>2114</v>
      </c>
      <c r="G585" s="8">
        <v>62</v>
      </c>
      <c r="H585" s="21" t="s">
        <v>1898</v>
      </c>
      <c r="I585" s="9">
        <f t="shared" si="38"/>
        <v>12</v>
      </c>
      <c r="J585" s="9">
        <f t="shared" si="37"/>
        <v>1</v>
      </c>
      <c r="K585" s="10" t="str">
        <f t="shared" si="40"/>
        <v>S2R12B1</v>
      </c>
      <c r="L585" s="10" t="s">
        <v>1899</v>
      </c>
      <c r="M585" s="10">
        <f>IF(Table1[[#This Row],[ID ROW]]&lt;=12,Table1[[#This Row],[ID ROW]],Table1[[#This Row],[ID ROW]]+INT((Table1[[#This Row],[ID ROW]]-1)/12)*2)</f>
        <v>12</v>
      </c>
      <c r="N585" s="10" t="str">
        <f t="shared" si="39"/>
        <v>LSR12B1</v>
      </c>
      <c r="O585" s="10">
        <f>IF(Table1[[#This Row],[ID ROW]]&lt;=12,1,INT((Table1[[#This Row],[ID ROW]]-1)/12)+1)</f>
        <v>1</v>
      </c>
      <c r="P585" s="10">
        <f>Table1[[#This Row],[ID ROW]]-((Table1[[#This Row],[SECT]]-1)*12)</f>
        <v>12</v>
      </c>
    </row>
    <row r="586" spans="1:16" ht="15.75" customHeight="1" x14ac:dyDescent="0.3">
      <c r="A586" s="6" t="s">
        <v>2115</v>
      </c>
      <c r="B586" s="6" t="s">
        <v>2116</v>
      </c>
      <c r="C586" s="6" t="s">
        <v>318</v>
      </c>
      <c r="D586" s="6" t="s">
        <v>2117</v>
      </c>
      <c r="F586" s="13" t="s">
        <v>2118</v>
      </c>
      <c r="G586" s="8">
        <v>63</v>
      </c>
      <c r="H586" s="21" t="s">
        <v>1898</v>
      </c>
      <c r="I586" s="9">
        <f t="shared" si="38"/>
        <v>12</v>
      </c>
      <c r="J586" s="9">
        <f t="shared" si="37"/>
        <v>2</v>
      </c>
      <c r="K586" s="10" t="str">
        <f t="shared" si="40"/>
        <v>S2R12B2</v>
      </c>
      <c r="L586" s="10" t="s">
        <v>1899</v>
      </c>
      <c r="M586" s="10">
        <f>IF(Table1[[#This Row],[ID ROW]]&lt;=12,Table1[[#This Row],[ID ROW]],Table1[[#This Row],[ID ROW]]+INT((Table1[[#This Row],[ID ROW]]-1)/12)*2)</f>
        <v>12</v>
      </c>
      <c r="N586" s="10" t="str">
        <f t="shared" si="39"/>
        <v>LSR12B2</v>
      </c>
      <c r="O586" s="10">
        <f>IF(Table1[[#This Row],[ID ROW]]&lt;=12,1,INT((Table1[[#This Row],[ID ROW]]-1)/12)+1)</f>
        <v>1</v>
      </c>
      <c r="P586" s="10">
        <f>Table1[[#This Row],[ID ROW]]-((Table1[[#This Row],[SECT]]-1)*12)</f>
        <v>12</v>
      </c>
    </row>
    <row r="587" spans="1:16" ht="15.75" customHeight="1" x14ac:dyDescent="0.25">
      <c r="A587" s="6" t="s">
        <v>2119</v>
      </c>
      <c r="B587" s="6" t="s">
        <v>1287</v>
      </c>
      <c r="C587" s="6" t="s">
        <v>2120</v>
      </c>
      <c r="D587" s="6" t="s">
        <v>2121</v>
      </c>
      <c r="F587" s="7" t="s">
        <v>2118</v>
      </c>
      <c r="G587" s="8">
        <v>64</v>
      </c>
      <c r="H587" s="21" t="s">
        <v>1898</v>
      </c>
      <c r="I587" s="9">
        <f t="shared" si="38"/>
        <v>12</v>
      </c>
      <c r="J587" s="9">
        <f t="shared" si="37"/>
        <v>3</v>
      </c>
      <c r="K587" s="10" t="str">
        <f t="shared" si="40"/>
        <v>S2R12B3</v>
      </c>
      <c r="L587" s="10" t="s">
        <v>1899</v>
      </c>
      <c r="M587" s="10">
        <f>IF(Table1[[#This Row],[ID ROW]]&lt;=12,Table1[[#This Row],[ID ROW]],Table1[[#This Row],[ID ROW]]+INT((Table1[[#This Row],[ID ROW]]-1)/12)*2)</f>
        <v>12</v>
      </c>
      <c r="N587" s="10" t="str">
        <f t="shared" si="39"/>
        <v>LSR12B3</v>
      </c>
      <c r="O587" s="10">
        <f>IF(Table1[[#This Row],[ID ROW]]&lt;=12,1,INT((Table1[[#This Row],[ID ROW]]-1)/12)+1)</f>
        <v>1</v>
      </c>
      <c r="P587" s="10">
        <f>Table1[[#This Row],[ID ROW]]-((Table1[[#This Row],[SECT]]-1)*12)</f>
        <v>12</v>
      </c>
    </row>
    <row r="588" spans="1:16" ht="15.75" customHeight="1" x14ac:dyDescent="0.3">
      <c r="A588" s="6" t="s">
        <v>2122</v>
      </c>
      <c r="B588" s="6" t="s">
        <v>2123</v>
      </c>
      <c r="C588" s="6" t="s">
        <v>67</v>
      </c>
      <c r="F588" s="13" t="s">
        <v>2124</v>
      </c>
      <c r="G588" s="8">
        <v>65</v>
      </c>
      <c r="H588" s="21" t="s">
        <v>1898</v>
      </c>
      <c r="I588" s="9">
        <f t="shared" si="38"/>
        <v>12</v>
      </c>
      <c r="J588" s="9">
        <f t="shared" si="37"/>
        <v>4</v>
      </c>
      <c r="K588" s="10" t="str">
        <f t="shared" si="40"/>
        <v>S2R12B4</v>
      </c>
      <c r="L588" s="10" t="s">
        <v>1899</v>
      </c>
      <c r="M588" s="10">
        <f>IF(Table1[[#This Row],[ID ROW]]&lt;=12,Table1[[#This Row],[ID ROW]],Table1[[#This Row],[ID ROW]]+INT((Table1[[#This Row],[ID ROW]]-1)/12)*2)</f>
        <v>12</v>
      </c>
      <c r="N588" s="10" t="str">
        <f t="shared" si="39"/>
        <v>LSR12B4</v>
      </c>
      <c r="O588" s="10">
        <f>IF(Table1[[#This Row],[ID ROW]]&lt;=12,1,INT((Table1[[#This Row],[ID ROW]]-1)/12)+1)</f>
        <v>1</v>
      </c>
      <c r="P588" s="10">
        <f>Table1[[#This Row],[ID ROW]]-((Table1[[#This Row],[SECT]]-1)*12)</f>
        <v>12</v>
      </c>
    </row>
    <row r="589" spans="1:16" ht="15.75" customHeight="1" x14ac:dyDescent="0.25">
      <c r="A589" s="6" t="s">
        <v>2125</v>
      </c>
      <c r="B589" s="6" t="s">
        <v>2126</v>
      </c>
      <c r="C589" s="6" t="s">
        <v>2127</v>
      </c>
      <c r="F589" s="7" t="s">
        <v>2124</v>
      </c>
      <c r="G589" s="8">
        <v>66</v>
      </c>
      <c r="H589" s="21" t="s">
        <v>1898</v>
      </c>
      <c r="I589" s="9">
        <f t="shared" si="38"/>
        <v>12</v>
      </c>
      <c r="J589" s="9">
        <f t="shared" si="37"/>
        <v>5</v>
      </c>
      <c r="K589" s="10" t="str">
        <f t="shared" si="40"/>
        <v>S2R12B5</v>
      </c>
      <c r="L589" s="10" t="s">
        <v>1899</v>
      </c>
      <c r="M589" s="10">
        <f>IF(Table1[[#This Row],[ID ROW]]&lt;=12,Table1[[#This Row],[ID ROW]],Table1[[#This Row],[ID ROW]]+INT((Table1[[#This Row],[ID ROW]]-1)/12)*2)</f>
        <v>12</v>
      </c>
      <c r="N589" s="10" t="str">
        <f t="shared" si="39"/>
        <v>LSR12B5</v>
      </c>
      <c r="O589" s="10">
        <f>IF(Table1[[#This Row],[ID ROW]]&lt;=12,1,INT((Table1[[#This Row],[ID ROW]]-1)/12)+1)</f>
        <v>1</v>
      </c>
      <c r="P589" s="10">
        <f>Table1[[#This Row],[ID ROW]]-((Table1[[#This Row],[SECT]]-1)*12)</f>
        <v>12</v>
      </c>
    </row>
    <row r="590" spans="1:16" ht="15.75" customHeight="1" x14ac:dyDescent="0.3">
      <c r="A590" s="6" t="s">
        <v>2128</v>
      </c>
      <c r="B590" s="6" t="s">
        <v>2129</v>
      </c>
      <c r="C590" s="6" t="s">
        <v>2130</v>
      </c>
      <c r="D590" s="6" t="s">
        <v>2131</v>
      </c>
      <c r="F590" s="13" t="s">
        <v>2132</v>
      </c>
      <c r="G590" s="8">
        <v>67</v>
      </c>
      <c r="H590" s="21" t="s">
        <v>1898</v>
      </c>
      <c r="I590" s="9">
        <f t="shared" si="38"/>
        <v>13</v>
      </c>
      <c r="J590" s="9">
        <f t="shared" si="37"/>
        <v>1</v>
      </c>
      <c r="K590" s="10" t="str">
        <f t="shared" si="40"/>
        <v>S2R13B1</v>
      </c>
      <c r="L590" s="10" t="s">
        <v>1899</v>
      </c>
      <c r="M590" s="10">
        <f>IF(Table1[[#This Row],[ID ROW]]&lt;=12,Table1[[#This Row],[ID ROW]],Table1[[#This Row],[ID ROW]]+INT((Table1[[#This Row],[ID ROW]]-1)/12)*2)</f>
        <v>15</v>
      </c>
      <c r="N590" s="10" t="str">
        <f t="shared" si="39"/>
        <v>LSR15B1</v>
      </c>
      <c r="O590" s="10">
        <f>IF(Table1[[#This Row],[ID ROW]]&lt;=12,1,INT((Table1[[#This Row],[ID ROW]]-1)/12)+1)</f>
        <v>2</v>
      </c>
      <c r="P590" s="10">
        <f>Table1[[#This Row],[ID ROW]]-((Table1[[#This Row],[SECT]]-1)*12)</f>
        <v>1</v>
      </c>
    </row>
    <row r="591" spans="1:16" ht="15.75" customHeight="1" x14ac:dyDescent="0.25">
      <c r="A591" s="6" t="s">
        <v>2133</v>
      </c>
      <c r="B591" s="6" t="s">
        <v>2134</v>
      </c>
      <c r="C591" s="6" t="s">
        <v>2135</v>
      </c>
      <c r="F591" s="7" t="s">
        <v>2136</v>
      </c>
      <c r="G591" s="8">
        <v>68</v>
      </c>
      <c r="H591" s="21" t="s">
        <v>1898</v>
      </c>
      <c r="I591" s="9">
        <f t="shared" si="38"/>
        <v>13</v>
      </c>
      <c r="J591" s="9">
        <f t="shared" si="37"/>
        <v>2</v>
      </c>
      <c r="K591" s="10" t="str">
        <f t="shared" si="40"/>
        <v>S2R13B2</v>
      </c>
      <c r="L591" s="10" t="s">
        <v>1899</v>
      </c>
      <c r="M591" s="10">
        <f>IF(Table1[[#This Row],[ID ROW]]&lt;=12,Table1[[#This Row],[ID ROW]],Table1[[#This Row],[ID ROW]]+INT((Table1[[#This Row],[ID ROW]]-1)/12)*2)</f>
        <v>15</v>
      </c>
      <c r="N591" s="10" t="str">
        <f t="shared" si="39"/>
        <v>LSR15B2</v>
      </c>
      <c r="O591" s="10">
        <f>IF(Table1[[#This Row],[ID ROW]]&lt;=12,1,INT((Table1[[#This Row],[ID ROW]]-1)/12)+1)</f>
        <v>2</v>
      </c>
      <c r="P591" s="10">
        <f>Table1[[#This Row],[ID ROW]]-((Table1[[#This Row],[SECT]]-1)*12)</f>
        <v>1</v>
      </c>
    </row>
    <row r="592" spans="1:16" ht="15.75" customHeight="1" x14ac:dyDescent="0.3">
      <c r="A592" s="6" t="s">
        <v>2137</v>
      </c>
      <c r="B592" s="6" t="s">
        <v>1128</v>
      </c>
      <c r="C592" s="6" t="s">
        <v>616</v>
      </c>
      <c r="F592" s="13" t="s">
        <v>2138</v>
      </c>
      <c r="G592" s="8">
        <v>69</v>
      </c>
      <c r="H592" s="21" t="s">
        <v>1898</v>
      </c>
      <c r="I592" s="9">
        <f t="shared" si="38"/>
        <v>13</v>
      </c>
      <c r="J592" s="9">
        <f t="shared" si="37"/>
        <v>3</v>
      </c>
      <c r="K592" s="10" t="str">
        <f t="shared" si="40"/>
        <v>S2R13B3</v>
      </c>
      <c r="L592" s="10" t="s">
        <v>1899</v>
      </c>
      <c r="M592" s="10">
        <f>IF(Table1[[#This Row],[ID ROW]]&lt;=12,Table1[[#This Row],[ID ROW]],Table1[[#This Row],[ID ROW]]+INT((Table1[[#This Row],[ID ROW]]-1)/12)*2)</f>
        <v>15</v>
      </c>
      <c r="N592" s="10" t="str">
        <f t="shared" si="39"/>
        <v>LSR15B3</v>
      </c>
      <c r="O592" s="10">
        <f>IF(Table1[[#This Row],[ID ROW]]&lt;=12,1,INT((Table1[[#This Row],[ID ROW]]-1)/12)+1)</f>
        <v>2</v>
      </c>
      <c r="P592" s="10">
        <f>Table1[[#This Row],[ID ROW]]-((Table1[[#This Row],[SECT]]-1)*12)</f>
        <v>1</v>
      </c>
    </row>
    <row r="593" spans="1:16" ht="15.75" customHeight="1" x14ac:dyDescent="0.25">
      <c r="A593" s="6" t="s">
        <v>2139</v>
      </c>
      <c r="B593" s="6" t="s">
        <v>2140</v>
      </c>
      <c r="C593" s="6" t="s">
        <v>318</v>
      </c>
      <c r="F593" s="7" t="s">
        <v>2141</v>
      </c>
      <c r="G593" s="8">
        <v>70</v>
      </c>
      <c r="H593" s="21" t="s">
        <v>1898</v>
      </c>
      <c r="I593" s="9">
        <f t="shared" si="38"/>
        <v>13</v>
      </c>
      <c r="J593" s="9">
        <f t="shared" si="37"/>
        <v>4</v>
      </c>
      <c r="K593" s="10" t="str">
        <f t="shared" si="40"/>
        <v>S2R13B4</v>
      </c>
      <c r="L593" s="10" t="s">
        <v>1899</v>
      </c>
      <c r="M593" s="10">
        <f>IF(Table1[[#This Row],[ID ROW]]&lt;=12,Table1[[#This Row],[ID ROW]],Table1[[#This Row],[ID ROW]]+INT((Table1[[#This Row],[ID ROW]]-1)/12)*2)</f>
        <v>15</v>
      </c>
      <c r="N593" s="10" t="str">
        <f t="shared" si="39"/>
        <v>LSR15B4</v>
      </c>
      <c r="O593" s="10">
        <f>IF(Table1[[#This Row],[ID ROW]]&lt;=12,1,INT((Table1[[#This Row],[ID ROW]]-1)/12)+1)</f>
        <v>2</v>
      </c>
      <c r="P593" s="10">
        <f>Table1[[#This Row],[ID ROW]]-((Table1[[#This Row],[SECT]]-1)*12)</f>
        <v>1</v>
      </c>
    </row>
    <row r="594" spans="1:16" ht="15.75" customHeight="1" x14ac:dyDescent="0.3">
      <c r="A594" s="6" t="s">
        <v>2142</v>
      </c>
      <c r="B594" s="6" t="s">
        <v>2143</v>
      </c>
      <c r="C594" s="6" t="s">
        <v>2144</v>
      </c>
      <c r="F594" s="13" t="s">
        <v>2141</v>
      </c>
      <c r="G594" s="8">
        <v>71</v>
      </c>
      <c r="H594" s="21" t="s">
        <v>1898</v>
      </c>
      <c r="I594" s="9">
        <f t="shared" si="38"/>
        <v>13</v>
      </c>
      <c r="J594" s="9">
        <f t="shared" si="37"/>
        <v>5</v>
      </c>
      <c r="K594" s="10" t="str">
        <f t="shared" si="40"/>
        <v>S2R13B5</v>
      </c>
      <c r="L594" s="10" t="s">
        <v>1899</v>
      </c>
      <c r="M594" s="10">
        <f>IF(Table1[[#This Row],[ID ROW]]&lt;=12,Table1[[#This Row],[ID ROW]],Table1[[#This Row],[ID ROW]]+INT((Table1[[#This Row],[ID ROW]]-1)/12)*2)</f>
        <v>15</v>
      </c>
      <c r="N594" s="10" t="str">
        <f t="shared" si="39"/>
        <v>LSR15B5</v>
      </c>
      <c r="O594" s="10">
        <f>IF(Table1[[#This Row],[ID ROW]]&lt;=12,1,INT((Table1[[#This Row],[ID ROW]]-1)/12)+1)</f>
        <v>2</v>
      </c>
      <c r="P594" s="10">
        <f>Table1[[#This Row],[ID ROW]]-((Table1[[#This Row],[SECT]]-1)*12)</f>
        <v>1</v>
      </c>
    </row>
    <row r="595" spans="1:16" ht="15.75" customHeight="1" x14ac:dyDescent="0.25">
      <c r="A595" s="6" t="s">
        <v>2145</v>
      </c>
      <c r="B595" s="6" t="s">
        <v>2146</v>
      </c>
      <c r="C595" s="6" t="s">
        <v>2147</v>
      </c>
      <c r="D595" s="6" t="s">
        <v>2148</v>
      </c>
      <c r="F595" s="7" t="s">
        <v>2149</v>
      </c>
      <c r="G595" s="8">
        <v>72</v>
      </c>
      <c r="H595" s="21" t="s">
        <v>1898</v>
      </c>
      <c r="I595" s="9">
        <f t="shared" si="38"/>
        <v>13</v>
      </c>
      <c r="J595" s="9">
        <f t="shared" si="37"/>
        <v>6</v>
      </c>
      <c r="K595" s="10" t="str">
        <f t="shared" si="40"/>
        <v>S2R13B6</v>
      </c>
      <c r="L595" s="10" t="s">
        <v>1899</v>
      </c>
      <c r="M595" s="10">
        <f>IF(Table1[[#This Row],[ID ROW]]&lt;=12,Table1[[#This Row],[ID ROW]],Table1[[#This Row],[ID ROW]]+INT((Table1[[#This Row],[ID ROW]]-1)/12)*2)</f>
        <v>15</v>
      </c>
      <c r="N595" s="10" t="str">
        <f t="shared" si="39"/>
        <v>LSR15B6</v>
      </c>
      <c r="O595" s="10">
        <f>IF(Table1[[#This Row],[ID ROW]]&lt;=12,1,INT((Table1[[#This Row],[ID ROW]]-1)/12)+1)</f>
        <v>2</v>
      </c>
      <c r="P595" s="10">
        <f>Table1[[#This Row],[ID ROW]]-((Table1[[#This Row],[SECT]]-1)*12)</f>
        <v>1</v>
      </c>
    </row>
    <row r="596" spans="1:16" ht="15.75" customHeight="1" x14ac:dyDescent="0.3">
      <c r="A596" s="6" t="s">
        <v>2150</v>
      </c>
      <c r="B596" s="6" t="s">
        <v>659</v>
      </c>
      <c r="C596" s="6" t="s">
        <v>2151</v>
      </c>
      <c r="D596" s="6" t="s">
        <v>207</v>
      </c>
      <c r="F596" s="13" t="s">
        <v>2152</v>
      </c>
      <c r="G596" s="8">
        <v>73</v>
      </c>
      <c r="H596" s="21" t="s">
        <v>1898</v>
      </c>
      <c r="I596" s="9">
        <f t="shared" si="38"/>
        <v>14</v>
      </c>
      <c r="J596" s="9">
        <f t="shared" si="37"/>
        <v>1</v>
      </c>
      <c r="K596" s="10" t="str">
        <f t="shared" si="40"/>
        <v>S2R14B1</v>
      </c>
      <c r="L596" s="10" t="s">
        <v>1899</v>
      </c>
      <c r="M596" s="10">
        <f>IF(Table1[[#This Row],[ID ROW]]&lt;=12,Table1[[#This Row],[ID ROW]],Table1[[#This Row],[ID ROW]]+INT((Table1[[#This Row],[ID ROW]]-1)/12)*2)</f>
        <v>16</v>
      </c>
      <c r="N596" s="10" t="str">
        <f t="shared" si="39"/>
        <v>LSR16B1</v>
      </c>
      <c r="O596" s="10">
        <f>IF(Table1[[#This Row],[ID ROW]]&lt;=12,1,INT((Table1[[#This Row],[ID ROW]]-1)/12)+1)</f>
        <v>2</v>
      </c>
      <c r="P596" s="10">
        <f>Table1[[#This Row],[ID ROW]]-((Table1[[#This Row],[SECT]]-1)*12)</f>
        <v>2</v>
      </c>
    </row>
    <row r="597" spans="1:16" ht="15.75" customHeight="1" x14ac:dyDescent="0.25">
      <c r="A597" s="6" t="s">
        <v>2153</v>
      </c>
      <c r="B597" s="6" t="s">
        <v>517</v>
      </c>
      <c r="C597" s="6" t="s">
        <v>339</v>
      </c>
      <c r="D597" s="6" t="s">
        <v>2154</v>
      </c>
      <c r="F597" s="7" t="s">
        <v>2155</v>
      </c>
      <c r="G597" s="8">
        <v>74</v>
      </c>
      <c r="H597" s="21" t="s">
        <v>1898</v>
      </c>
      <c r="I597" s="9">
        <f t="shared" si="38"/>
        <v>14</v>
      </c>
      <c r="J597" s="9">
        <f t="shared" si="37"/>
        <v>2</v>
      </c>
      <c r="K597" s="10" t="str">
        <f t="shared" si="40"/>
        <v>S2R14B2</v>
      </c>
      <c r="L597" s="10" t="s">
        <v>1899</v>
      </c>
      <c r="M597" s="10">
        <f>IF(Table1[[#This Row],[ID ROW]]&lt;=12,Table1[[#This Row],[ID ROW]],Table1[[#This Row],[ID ROW]]+INT((Table1[[#This Row],[ID ROW]]-1)/12)*2)</f>
        <v>16</v>
      </c>
      <c r="N597" s="10" t="str">
        <f t="shared" si="39"/>
        <v>LSR16B2</v>
      </c>
      <c r="O597" s="10">
        <f>IF(Table1[[#This Row],[ID ROW]]&lt;=12,1,INT((Table1[[#This Row],[ID ROW]]-1)/12)+1)</f>
        <v>2</v>
      </c>
      <c r="P597" s="10">
        <f>Table1[[#This Row],[ID ROW]]-((Table1[[#This Row],[SECT]]-1)*12)</f>
        <v>2</v>
      </c>
    </row>
    <row r="598" spans="1:16" ht="15.75" customHeight="1" x14ac:dyDescent="0.3">
      <c r="A598" s="6" t="s">
        <v>2156</v>
      </c>
      <c r="B598" s="6" t="s">
        <v>2157</v>
      </c>
      <c r="C598" s="6" t="s">
        <v>2158</v>
      </c>
      <c r="D598" s="6" t="s">
        <v>2159</v>
      </c>
      <c r="F598" s="13" t="s">
        <v>2160</v>
      </c>
      <c r="G598" s="8">
        <v>75</v>
      </c>
      <c r="H598" s="21" t="s">
        <v>1898</v>
      </c>
      <c r="I598" s="9">
        <f t="shared" si="38"/>
        <v>14</v>
      </c>
      <c r="J598" s="9">
        <f t="shared" si="37"/>
        <v>3</v>
      </c>
      <c r="K598" s="10" t="str">
        <f t="shared" si="40"/>
        <v>S2R14B3</v>
      </c>
      <c r="L598" s="10" t="s">
        <v>1899</v>
      </c>
      <c r="M598" s="10">
        <f>IF(Table1[[#This Row],[ID ROW]]&lt;=12,Table1[[#This Row],[ID ROW]],Table1[[#This Row],[ID ROW]]+INT((Table1[[#This Row],[ID ROW]]-1)/12)*2)</f>
        <v>16</v>
      </c>
      <c r="N598" s="10" t="str">
        <f t="shared" si="39"/>
        <v>LSR16B3</v>
      </c>
      <c r="O598" s="10">
        <f>IF(Table1[[#This Row],[ID ROW]]&lt;=12,1,INT((Table1[[#This Row],[ID ROW]]-1)/12)+1)</f>
        <v>2</v>
      </c>
      <c r="P598" s="10">
        <f>Table1[[#This Row],[ID ROW]]-((Table1[[#This Row],[SECT]]-1)*12)</f>
        <v>2</v>
      </c>
    </row>
    <row r="599" spans="1:16" ht="15.75" customHeight="1" x14ac:dyDescent="0.25">
      <c r="A599" s="6" t="s">
        <v>2161</v>
      </c>
      <c r="B599" s="6" t="s">
        <v>176</v>
      </c>
      <c r="D599" s="6" t="s">
        <v>2162</v>
      </c>
      <c r="F599" s="7" t="s">
        <v>2163</v>
      </c>
      <c r="G599" s="8">
        <v>76</v>
      </c>
      <c r="H599" s="21" t="s">
        <v>1898</v>
      </c>
      <c r="I599" s="9">
        <f t="shared" si="38"/>
        <v>14</v>
      </c>
      <c r="J599" s="9">
        <f t="shared" si="37"/>
        <v>4</v>
      </c>
      <c r="K599" s="10" t="str">
        <f t="shared" si="40"/>
        <v>S2R14B4</v>
      </c>
      <c r="L599" s="10" t="s">
        <v>1899</v>
      </c>
      <c r="M599" s="10">
        <f>IF(Table1[[#This Row],[ID ROW]]&lt;=12,Table1[[#This Row],[ID ROW]],Table1[[#This Row],[ID ROW]]+INT((Table1[[#This Row],[ID ROW]]-1)/12)*2)</f>
        <v>16</v>
      </c>
      <c r="N599" s="10" t="str">
        <f t="shared" si="39"/>
        <v>LSR16B4</v>
      </c>
      <c r="O599" s="10">
        <f>IF(Table1[[#This Row],[ID ROW]]&lt;=12,1,INT((Table1[[#This Row],[ID ROW]]-1)/12)+1)</f>
        <v>2</v>
      </c>
      <c r="P599" s="10">
        <f>Table1[[#This Row],[ID ROW]]-((Table1[[#This Row],[SECT]]-1)*12)</f>
        <v>2</v>
      </c>
    </row>
    <row r="600" spans="1:16" ht="15.75" customHeight="1" x14ac:dyDescent="0.3">
      <c r="A600" s="6" t="s">
        <v>2164</v>
      </c>
      <c r="B600" s="6" t="s">
        <v>696</v>
      </c>
      <c r="C600" s="6" t="s">
        <v>2165</v>
      </c>
      <c r="D600" s="6" t="s">
        <v>2166</v>
      </c>
      <c r="F600" s="13" t="s">
        <v>2167</v>
      </c>
      <c r="G600" s="8">
        <v>77</v>
      </c>
      <c r="H600" s="21" t="s">
        <v>1898</v>
      </c>
      <c r="I600" s="9">
        <f t="shared" si="38"/>
        <v>14</v>
      </c>
      <c r="J600" s="9">
        <f t="shared" si="37"/>
        <v>5</v>
      </c>
      <c r="K600" s="10" t="str">
        <f t="shared" si="40"/>
        <v>S2R14B5</v>
      </c>
      <c r="L600" s="10" t="s">
        <v>1899</v>
      </c>
      <c r="M600" s="10">
        <f>IF(Table1[[#This Row],[ID ROW]]&lt;=12,Table1[[#This Row],[ID ROW]],Table1[[#This Row],[ID ROW]]+INT((Table1[[#This Row],[ID ROW]]-1)/12)*2)</f>
        <v>16</v>
      </c>
      <c r="N600" s="10" t="str">
        <f t="shared" si="39"/>
        <v>LSR16B5</v>
      </c>
      <c r="O600" s="10">
        <f>IF(Table1[[#This Row],[ID ROW]]&lt;=12,1,INT((Table1[[#This Row],[ID ROW]]-1)/12)+1)</f>
        <v>2</v>
      </c>
      <c r="P600" s="10">
        <f>Table1[[#This Row],[ID ROW]]-((Table1[[#This Row],[SECT]]-1)*12)</f>
        <v>2</v>
      </c>
    </row>
    <row r="601" spans="1:16" ht="15.75" customHeight="1" x14ac:dyDescent="0.25">
      <c r="A601" s="6" t="s">
        <v>2168</v>
      </c>
      <c r="B601" s="6" t="s">
        <v>2169</v>
      </c>
      <c r="C601" s="6" t="s">
        <v>2170</v>
      </c>
      <c r="D601" s="6" t="s">
        <v>318</v>
      </c>
      <c r="F601" s="7" t="s">
        <v>2171</v>
      </c>
      <c r="G601" s="8">
        <v>78</v>
      </c>
      <c r="H601" s="21" t="s">
        <v>1898</v>
      </c>
      <c r="I601" s="9">
        <f t="shared" si="38"/>
        <v>15</v>
      </c>
      <c r="J601" s="9">
        <f t="shared" si="37"/>
        <v>1</v>
      </c>
      <c r="K601" s="10" t="str">
        <f t="shared" si="40"/>
        <v>S2R15B1</v>
      </c>
      <c r="L601" s="10" t="s">
        <v>1899</v>
      </c>
      <c r="M601" s="10">
        <f>IF(Table1[[#This Row],[ID ROW]]&lt;=12,Table1[[#This Row],[ID ROW]],Table1[[#This Row],[ID ROW]]+INT((Table1[[#This Row],[ID ROW]]-1)/12)*2)</f>
        <v>17</v>
      </c>
      <c r="N601" s="10" t="str">
        <f t="shared" si="39"/>
        <v>LSR17B1</v>
      </c>
      <c r="O601" s="10">
        <f>IF(Table1[[#This Row],[ID ROW]]&lt;=12,1,INT((Table1[[#This Row],[ID ROW]]-1)/12)+1)</f>
        <v>2</v>
      </c>
      <c r="P601" s="10">
        <f>Table1[[#This Row],[ID ROW]]-((Table1[[#This Row],[SECT]]-1)*12)</f>
        <v>3</v>
      </c>
    </row>
    <row r="602" spans="1:16" ht="15.75" customHeight="1" x14ac:dyDescent="0.3">
      <c r="A602" s="6" t="s">
        <v>2172</v>
      </c>
      <c r="B602" s="6" t="s">
        <v>2173</v>
      </c>
      <c r="C602" s="6" t="s">
        <v>2174</v>
      </c>
      <c r="D602" s="6" t="s">
        <v>2175</v>
      </c>
      <c r="F602" s="13" t="s">
        <v>2176</v>
      </c>
      <c r="G602" s="8">
        <v>79</v>
      </c>
      <c r="H602" s="21" t="s">
        <v>1898</v>
      </c>
      <c r="I602" s="9">
        <f t="shared" si="38"/>
        <v>15</v>
      </c>
      <c r="J602" s="9">
        <f t="shared" si="37"/>
        <v>2</v>
      </c>
      <c r="K602" s="10" t="str">
        <f t="shared" si="40"/>
        <v>S2R15B2</v>
      </c>
      <c r="L602" s="10" t="s">
        <v>1899</v>
      </c>
      <c r="M602" s="10">
        <f>IF(Table1[[#This Row],[ID ROW]]&lt;=12,Table1[[#This Row],[ID ROW]],Table1[[#This Row],[ID ROW]]+INT((Table1[[#This Row],[ID ROW]]-1)/12)*2)</f>
        <v>17</v>
      </c>
      <c r="N602" s="10" t="str">
        <f t="shared" si="39"/>
        <v>LSR17B2</v>
      </c>
      <c r="O602" s="10">
        <f>IF(Table1[[#This Row],[ID ROW]]&lt;=12,1,INT((Table1[[#This Row],[ID ROW]]-1)/12)+1)</f>
        <v>2</v>
      </c>
      <c r="P602" s="10">
        <f>Table1[[#This Row],[ID ROW]]-((Table1[[#This Row],[SECT]]-1)*12)</f>
        <v>3</v>
      </c>
    </row>
    <row r="603" spans="1:16" ht="15.75" customHeight="1" x14ac:dyDescent="0.25">
      <c r="A603" s="6" t="s">
        <v>2177</v>
      </c>
      <c r="B603" s="6" t="s">
        <v>567</v>
      </c>
      <c r="C603" s="6" t="s">
        <v>2178</v>
      </c>
      <c r="F603" s="7" t="s">
        <v>2179</v>
      </c>
      <c r="G603" s="8">
        <v>80</v>
      </c>
      <c r="H603" s="21" t="s">
        <v>1898</v>
      </c>
      <c r="I603" s="9">
        <f t="shared" si="38"/>
        <v>15</v>
      </c>
      <c r="J603" s="9">
        <f t="shared" ref="J603:J666" si="41">IF(MOD(G603-1,11)&lt;6,(MOD(G603-1,11)+1-(5*FLOOR(MOD(G603-1,11),6))),(MOD(G603-1,11))-5)</f>
        <v>3</v>
      </c>
      <c r="K603" s="10" t="str">
        <f t="shared" si="40"/>
        <v>S2R15B3</v>
      </c>
      <c r="L603" s="10" t="s">
        <v>1899</v>
      </c>
      <c r="M603" s="10">
        <f>IF(Table1[[#This Row],[ID ROW]]&lt;=12,Table1[[#This Row],[ID ROW]],Table1[[#This Row],[ID ROW]]+INT((Table1[[#This Row],[ID ROW]]-1)/12)*2)</f>
        <v>17</v>
      </c>
      <c r="N603" s="10" t="str">
        <f t="shared" si="39"/>
        <v>LSR17B3</v>
      </c>
      <c r="O603" s="10">
        <f>IF(Table1[[#This Row],[ID ROW]]&lt;=12,1,INT((Table1[[#This Row],[ID ROW]]-1)/12)+1)</f>
        <v>2</v>
      </c>
      <c r="P603" s="10">
        <f>Table1[[#This Row],[ID ROW]]-((Table1[[#This Row],[SECT]]-1)*12)</f>
        <v>3</v>
      </c>
    </row>
    <row r="604" spans="1:16" ht="15.75" customHeight="1" x14ac:dyDescent="0.3">
      <c r="A604" s="6" t="s">
        <v>2180</v>
      </c>
      <c r="B604" s="6" t="s">
        <v>2181</v>
      </c>
      <c r="C604" s="6" t="s">
        <v>2182</v>
      </c>
      <c r="F604" s="13" t="s">
        <v>2183</v>
      </c>
      <c r="G604" s="8">
        <v>81</v>
      </c>
      <c r="H604" s="21" t="s">
        <v>1898</v>
      </c>
      <c r="I604" s="9">
        <f t="shared" ref="I604:I667" si="42">INT((G604-1)/11)*2 + IF(MOD(G604-1, 11) &lt; 6, 1, 2)</f>
        <v>15</v>
      </c>
      <c r="J604" s="9">
        <f t="shared" si="41"/>
        <v>4</v>
      </c>
      <c r="K604" s="10" t="str">
        <f t="shared" si="40"/>
        <v>S2R15B4</v>
      </c>
      <c r="L604" s="10" t="s">
        <v>1899</v>
      </c>
      <c r="M604" s="10">
        <f>IF(Table1[[#This Row],[ID ROW]]&lt;=12,Table1[[#This Row],[ID ROW]],Table1[[#This Row],[ID ROW]]+INT((Table1[[#This Row],[ID ROW]]-1)/12)*2)</f>
        <v>17</v>
      </c>
      <c r="N604" s="10" t="str">
        <f t="shared" ref="N604:N667" si="43">L604&amp;"R"&amp;M604&amp;"B"&amp;J604</f>
        <v>LSR17B4</v>
      </c>
      <c r="O604" s="10">
        <f>IF(Table1[[#This Row],[ID ROW]]&lt;=12,1,INT((Table1[[#This Row],[ID ROW]]-1)/12)+1)</f>
        <v>2</v>
      </c>
      <c r="P604" s="10">
        <f>Table1[[#This Row],[ID ROW]]-((Table1[[#This Row],[SECT]]-1)*12)</f>
        <v>3</v>
      </c>
    </row>
    <row r="605" spans="1:16" ht="15.75" customHeight="1" x14ac:dyDescent="0.25">
      <c r="A605" s="6" t="s">
        <v>2184</v>
      </c>
      <c r="B605" s="6" t="s">
        <v>2185</v>
      </c>
      <c r="C605" s="6" t="s">
        <v>2186</v>
      </c>
      <c r="D605" s="6" t="s">
        <v>2187</v>
      </c>
      <c r="F605" s="7" t="s">
        <v>2188</v>
      </c>
      <c r="G605" s="8">
        <v>82</v>
      </c>
      <c r="H605" s="21" t="s">
        <v>1898</v>
      </c>
      <c r="I605" s="9">
        <f t="shared" si="42"/>
        <v>15</v>
      </c>
      <c r="J605" s="9">
        <f t="shared" si="41"/>
        <v>5</v>
      </c>
      <c r="K605" s="10" t="str">
        <f t="shared" si="40"/>
        <v>S2R15B5</v>
      </c>
      <c r="L605" s="10" t="s">
        <v>1899</v>
      </c>
      <c r="M605" s="10">
        <f>IF(Table1[[#This Row],[ID ROW]]&lt;=12,Table1[[#This Row],[ID ROW]],Table1[[#This Row],[ID ROW]]+INT((Table1[[#This Row],[ID ROW]]-1)/12)*2)</f>
        <v>17</v>
      </c>
      <c r="N605" s="10" t="str">
        <f t="shared" si="43"/>
        <v>LSR17B5</v>
      </c>
      <c r="O605" s="10">
        <f>IF(Table1[[#This Row],[ID ROW]]&lt;=12,1,INT((Table1[[#This Row],[ID ROW]]-1)/12)+1)</f>
        <v>2</v>
      </c>
      <c r="P605" s="10">
        <f>Table1[[#This Row],[ID ROW]]-((Table1[[#This Row],[SECT]]-1)*12)</f>
        <v>3</v>
      </c>
    </row>
    <row r="606" spans="1:16" ht="15.75" customHeight="1" x14ac:dyDescent="0.3">
      <c r="A606" s="6" t="s">
        <v>2189</v>
      </c>
      <c r="B606" s="6" t="s">
        <v>2190</v>
      </c>
      <c r="C606" s="6" t="s">
        <v>296</v>
      </c>
      <c r="F606" s="13" t="s">
        <v>2188</v>
      </c>
      <c r="G606" s="8">
        <v>83</v>
      </c>
      <c r="H606" s="21" t="s">
        <v>1898</v>
      </c>
      <c r="I606" s="9">
        <f t="shared" si="42"/>
        <v>15</v>
      </c>
      <c r="J606" s="9">
        <f t="shared" si="41"/>
        <v>6</v>
      </c>
      <c r="K606" s="10" t="str">
        <f t="shared" si="40"/>
        <v>S2R15B6</v>
      </c>
      <c r="L606" s="10" t="s">
        <v>1899</v>
      </c>
      <c r="M606" s="10">
        <f>IF(Table1[[#This Row],[ID ROW]]&lt;=12,Table1[[#This Row],[ID ROW]],Table1[[#This Row],[ID ROW]]+INT((Table1[[#This Row],[ID ROW]]-1)/12)*2)</f>
        <v>17</v>
      </c>
      <c r="N606" s="10" t="str">
        <f t="shared" si="43"/>
        <v>LSR17B6</v>
      </c>
      <c r="O606" s="10">
        <f>IF(Table1[[#This Row],[ID ROW]]&lt;=12,1,INT((Table1[[#This Row],[ID ROW]]-1)/12)+1)</f>
        <v>2</v>
      </c>
      <c r="P606" s="10">
        <f>Table1[[#This Row],[ID ROW]]-((Table1[[#This Row],[SECT]]-1)*12)</f>
        <v>3</v>
      </c>
    </row>
    <row r="607" spans="1:16" ht="15.75" customHeight="1" x14ac:dyDescent="0.25">
      <c r="A607" s="6" t="s">
        <v>2191</v>
      </c>
      <c r="B607" s="6" t="s">
        <v>2192</v>
      </c>
      <c r="C607" s="6" t="s">
        <v>2193</v>
      </c>
      <c r="D607" s="6" t="s">
        <v>2194</v>
      </c>
      <c r="F607" s="7" t="s">
        <v>2195</v>
      </c>
      <c r="G607" s="8">
        <v>84</v>
      </c>
      <c r="H607" s="21" t="s">
        <v>1898</v>
      </c>
      <c r="I607" s="9">
        <f t="shared" si="42"/>
        <v>16</v>
      </c>
      <c r="J607" s="9">
        <f t="shared" si="41"/>
        <v>1</v>
      </c>
      <c r="K607" s="10" t="str">
        <f t="shared" si="40"/>
        <v>S2R16B1</v>
      </c>
      <c r="L607" s="10" t="s">
        <v>1899</v>
      </c>
      <c r="M607" s="10">
        <f>IF(Table1[[#This Row],[ID ROW]]&lt;=12,Table1[[#This Row],[ID ROW]],Table1[[#This Row],[ID ROW]]+INT((Table1[[#This Row],[ID ROW]]-1)/12)*2)</f>
        <v>18</v>
      </c>
      <c r="N607" s="10" t="str">
        <f t="shared" si="43"/>
        <v>LSR18B1</v>
      </c>
      <c r="O607" s="10">
        <f>IF(Table1[[#This Row],[ID ROW]]&lt;=12,1,INT((Table1[[#This Row],[ID ROW]]-1)/12)+1)</f>
        <v>2</v>
      </c>
      <c r="P607" s="10">
        <f>Table1[[#This Row],[ID ROW]]-((Table1[[#This Row],[SECT]]-1)*12)</f>
        <v>4</v>
      </c>
    </row>
    <row r="608" spans="1:16" ht="15.75" customHeight="1" x14ac:dyDescent="0.3">
      <c r="A608" s="6" t="s">
        <v>2196</v>
      </c>
      <c r="B608" s="6" t="s">
        <v>2197</v>
      </c>
      <c r="C608" s="6" t="s">
        <v>1023</v>
      </c>
      <c r="D608" s="6" t="s">
        <v>2198</v>
      </c>
      <c r="F608" s="13" t="s">
        <v>2195</v>
      </c>
      <c r="G608" s="8">
        <v>85</v>
      </c>
      <c r="H608" s="21" t="s">
        <v>1898</v>
      </c>
      <c r="I608" s="9">
        <f t="shared" si="42"/>
        <v>16</v>
      </c>
      <c r="J608" s="9">
        <f t="shared" si="41"/>
        <v>2</v>
      </c>
      <c r="K608" s="10" t="str">
        <f t="shared" si="40"/>
        <v>S2R16B2</v>
      </c>
      <c r="L608" s="10" t="s">
        <v>1899</v>
      </c>
      <c r="M608" s="10">
        <f>IF(Table1[[#This Row],[ID ROW]]&lt;=12,Table1[[#This Row],[ID ROW]],Table1[[#This Row],[ID ROW]]+INT((Table1[[#This Row],[ID ROW]]-1)/12)*2)</f>
        <v>18</v>
      </c>
      <c r="N608" s="10" t="str">
        <f t="shared" si="43"/>
        <v>LSR18B2</v>
      </c>
      <c r="O608" s="10">
        <f>IF(Table1[[#This Row],[ID ROW]]&lt;=12,1,INT((Table1[[#This Row],[ID ROW]]-1)/12)+1)</f>
        <v>2</v>
      </c>
      <c r="P608" s="10">
        <f>Table1[[#This Row],[ID ROW]]-((Table1[[#This Row],[SECT]]-1)*12)</f>
        <v>4</v>
      </c>
    </row>
    <row r="609" spans="1:16" ht="15.75" customHeight="1" x14ac:dyDescent="0.25">
      <c r="A609" s="6" t="s">
        <v>2199</v>
      </c>
      <c r="B609" s="6" t="s">
        <v>2200</v>
      </c>
      <c r="C609" s="6" t="s">
        <v>2201</v>
      </c>
      <c r="D609" s="6" t="s">
        <v>2202</v>
      </c>
      <c r="F609" s="7" t="s">
        <v>2203</v>
      </c>
      <c r="G609" s="8">
        <v>86</v>
      </c>
      <c r="H609" s="21" t="s">
        <v>1898</v>
      </c>
      <c r="I609" s="9">
        <f t="shared" si="42"/>
        <v>16</v>
      </c>
      <c r="J609" s="9">
        <f t="shared" si="41"/>
        <v>3</v>
      </c>
      <c r="K609" s="10" t="str">
        <f t="shared" si="40"/>
        <v>S2R16B3</v>
      </c>
      <c r="L609" s="10" t="s">
        <v>1899</v>
      </c>
      <c r="M609" s="10">
        <f>IF(Table1[[#This Row],[ID ROW]]&lt;=12,Table1[[#This Row],[ID ROW]],Table1[[#This Row],[ID ROW]]+INT((Table1[[#This Row],[ID ROW]]-1)/12)*2)</f>
        <v>18</v>
      </c>
      <c r="N609" s="10" t="str">
        <f t="shared" si="43"/>
        <v>LSR18B3</v>
      </c>
      <c r="O609" s="10">
        <f>IF(Table1[[#This Row],[ID ROW]]&lt;=12,1,INT((Table1[[#This Row],[ID ROW]]-1)/12)+1)</f>
        <v>2</v>
      </c>
      <c r="P609" s="10">
        <f>Table1[[#This Row],[ID ROW]]-((Table1[[#This Row],[SECT]]-1)*12)</f>
        <v>4</v>
      </c>
    </row>
    <row r="610" spans="1:16" ht="15.75" customHeight="1" x14ac:dyDescent="0.3">
      <c r="A610" s="6" t="s">
        <v>2204</v>
      </c>
      <c r="B610" s="6" t="s">
        <v>2205</v>
      </c>
      <c r="C610" s="6" t="s">
        <v>2206</v>
      </c>
      <c r="F610" s="13" t="s">
        <v>2207</v>
      </c>
      <c r="G610" s="8">
        <v>87</v>
      </c>
      <c r="H610" s="21" t="s">
        <v>1898</v>
      </c>
      <c r="I610" s="9">
        <f t="shared" si="42"/>
        <v>16</v>
      </c>
      <c r="J610" s="9">
        <f t="shared" si="41"/>
        <v>4</v>
      </c>
      <c r="K610" s="10" t="str">
        <f t="shared" si="40"/>
        <v>S2R16B4</v>
      </c>
      <c r="L610" s="10" t="s">
        <v>1899</v>
      </c>
      <c r="M610" s="10">
        <f>IF(Table1[[#This Row],[ID ROW]]&lt;=12,Table1[[#This Row],[ID ROW]],Table1[[#This Row],[ID ROW]]+INT((Table1[[#This Row],[ID ROW]]-1)/12)*2)</f>
        <v>18</v>
      </c>
      <c r="N610" s="10" t="str">
        <f t="shared" si="43"/>
        <v>LSR18B4</v>
      </c>
      <c r="O610" s="10">
        <f>IF(Table1[[#This Row],[ID ROW]]&lt;=12,1,INT((Table1[[#This Row],[ID ROW]]-1)/12)+1)</f>
        <v>2</v>
      </c>
      <c r="P610" s="10">
        <f>Table1[[#This Row],[ID ROW]]-((Table1[[#This Row],[SECT]]-1)*12)</f>
        <v>4</v>
      </c>
    </row>
    <row r="611" spans="1:16" ht="15.75" customHeight="1" x14ac:dyDescent="0.25">
      <c r="A611" s="6" t="s">
        <v>2208</v>
      </c>
      <c r="B611" s="6" t="s">
        <v>2209</v>
      </c>
      <c r="C611" s="6" t="s">
        <v>676</v>
      </c>
      <c r="F611" s="7" t="s">
        <v>2210</v>
      </c>
      <c r="G611" s="8">
        <v>88</v>
      </c>
      <c r="H611" s="21" t="s">
        <v>1898</v>
      </c>
      <c r="I611" s="9">
        <f t="shared" si="42"/>
        <v>16</v>
      </c>
      <c r="J611" s="9">
        <f t="shared" si="41"/>
        <v>5</v>
      </c>
      <c r="K611" s="10" t="str">
        <f t="shared" si="40"/>
        <v>S2R16B5</v>
      </c>
      <c r="L611" s="10" t="s">
        <v>1899</v>
      </c>
      <c r="M611" s="10">
        <f>IF(Table1[[#This Row],[ID ROW]]&lt;=12,Table1[[#This Row],[ID ROW]],Table1[[#This Row],[ID ROW]]+INT((Table1[[#This Row],[ID ROW]]-1)/12)*2)</f>
        <v>18</v>
      </c>
      <c r="N611" s="10" t="str">
        <f t="shared" si="43"/>
        <v>LSR18B5</v>
      </c>
      <c r="O611" s="10">
        <f>IF(Table1[[#This Row],[ID ROW]]&lt;=12,1,INT((Table1[[#This Row],[ID ROW]]-1)/12)+1)</f>
        <v>2</v>
      </c>
      <c r="P611" s="10">
        <f>Table1[[#This Row],[ID ROW]]-((Table1[[#This Row],[SECT]]-1)*12)</f>
        <v>4</v>
      </c>
    </row>
    <row r="612" spans="1:16" ht="15.75" customHeight="1" x14ac:dyDescent="0.3">
      <c r="A612" s="6" t="s">
        <v>2211</v>
      </c>
      <c r="B612" s="6" t="s">
        <v>125</v>
      </c>
      <c r="C612" s="6" t="s">
        <v>769</v>
      </c>
      <c r="F612" s="13" t="s">
        <v>1318</v>
      </c>
      <c r="G612" s="8">
        <v>89</v>
      </c>
      <c r="H612" s="21" t="s">
        <v>1898</v>
      </c>
      <c r="I612" s="9">
        <f t="shared" si="42"/>
        <v>17</v>
      </c>
      <c r="J612" s="9">
        <f t="shared" si="41"/>
        <v>1</v>
      </c>
      <c r="K612" s="10" t="str">
        <f t="shared" si="40"/>
        <v>S2R17B1</v>
      </c>
      <c r="L612" s="10" t="s">
        <v>1899</v>
      </c>
      <c r="M612" s="10">
        <f>IF(Table1[[#This Row],[ID ROW]]&lt;=12,Table1[[#This Row],[ID ROW]],Table1[[#This Row],[ID ROW]]+INT((Table1[[#This Row],[ID ROW]]-1)/12)*2)</f>
        <v>19</v>
      </c>
      <c r="N612" s="10" t="str">
        <f t="shared" si="43"/>
        <v>LSR19B1</v>
      </c>
      <c r="O612" s="10">
        <f>IF(Table1[[#This Row],[ID ROW]]&lt;=12,1,INT((Table1[[#This Row],[ID ROW]]-1)/12)+1)</f>
        <v>2</v>
      </c>
      <c r="P612" s="10">
        <f>Table1[[#This Row],[ID ROW]]-((Table1[[#This Row],[SECT]]-1)*12)</f>
        <v>5</v>
      </c>
    </row>
    <row r="613" spans="1:16" ht="15.75" customHeight="1" x14ac:dyDescent="0.25">
      <c r="A613" s="6" t="s">
        <v>2212</v>
      </c>
      <c r="B613" s="6" t="s">
        <v>741</v>
      </c>
      <c r="C613" s="6" t="s">
        <v>2213</v>
      </c>
      <c r="F613" s="7" t="s">
        <v>1318</v>
      </c>
      <c r="G613" s="8">
        <v>90</v>
      </c>
      <c r="H613" s="21" t="s">
        <v>1898</v>
      </c>
      <c r="I613" s="9">
        <f t="shared" si="42"/>
        <v>17</v>
      </c>
      <c r="J613" s="9">
        <f t="shared" si="41"/>
        <v>2</v>
      </c>
      <c r="K613" s="10" t="str">
        <f t="shared" si="40"/>
        <v>S2R17B2</v>
      </c>
      <c r="L613" s="10" t="s">
        <v>1899</v>
      </c>
      <c r="M613" s="10">
        <f>IF(Table1[[#This Row],[ID ROW]]&lt;=12,Table1[[#This Row],[ID ROW]],Table1[[#This Row],[ID ROW]]+INT((Table1[[#This Row],[ID ROW]]-1)/12)*2)</f>
        <v>19</v>
      </c>
      <c r="N613" s="10" t="str">
        <f t="shared" si="43"/>
        <v>LSR19B2</v>
      </c>
      <c r="O613" s="10">
        <f>IF(Table1[[#This Row],[ID ROW]]&lt;=12,1,INT((Table1[[#This Row],[ID ROW]]-1)/12)+1)</f>
        <v>2</v>
      </c>
      <c r="P613" s="10">
        <f>Table1[[#This Row],[ID ROW]]-((Table1[[#This Row],[SECT]]-1)*12)</f>
        <v>5</v>
      </c>
    </row>
    <row r="614" spans="1:16" ht="15.75" customHeight="1" x14ac:dyDescent="0.3">
      <c r="A614" s="6" t="s">
        <v>2214</v>
      </c>
      <c r="B614" s="6" t="s">
        <v>2215</v>
      </c>
      <c r="C614" s="6" t="s">
        <v>2216</v>
      </c>
      <c r="F614" s="13" t="s">
        <v>2217</v>
      </c>
      <c r="G614" s="8">
        <v>91</v>
      </c>
      <c r="H614" s="21" t="s">
        <v>1898</v>
      </c>
      <c r="I614" s="9">
        <f t="shared" si="42"/>
        <v>17</v>
      </c>
      <c r="J614" s="9">
        <f t="shared" si="41"/>
        <v>3</v>
      </c>
      <c r="K614" s="10" t="str">
        <f t="shared" si="40"/>
        <v>S2R17B3</v>
      </c>
      <c r="L614" s="10" t="s">
        <v>1899</v>
      </c>
      <c r="M614" s="10">
        <f>IF(Table1[[#This Row],[ID ROW]]&lt;=12,Table1[[#This Row],[ID ROW]],Table1[[#This Row],[ID ROW]]+INT((Table1[[#This Row],[ID ROW]]-1)/12)*2)</f>
        <v>19</v>
      </c>
      <c r="N614" s="10" t="str">
        <f t="shared" si="43"/>
        <v>LSR19B3</v>
      </c>
      <c r="O614" s="10">
        <f>IF(Table1[[#This Row],[ID ROW]]&lt;=12,1,INT((Table1[[#This Row],[ID ROW]]-1)/12)+1)</f>
        <v>2</v>
      </c>
      <c r="P614" s="10">
        <f>Table1[[#This Row],[ID ROW]]-((Table1[[#This Row],[SECT]]-1)*12)</f>
        <v>5</v>
      </c>
    </row>
    <row r="615" spans="1:16" ht="15.75" customHeight="1" x14ac:dyDescent="0.25">
      <c r="A615" s="6" t="s">
        <v>2218</v>
      </c>
      <c r="B615" s="6" t="s">
        <v>2219</v>
      </c>
      <c r="C615" s="6" t="s">
        <v>2220</v>
      </c>
      <c r="F615" s="7" t="s">
        <v>2217</v>
      </c>
      <c r="G615" s="8">
        <v>92</v>
      </c>
      <c r="H615" s="21" t="s">
        <v>1898</v>
      </c>
      <c r="I615" s="9">
        <f t="shared" si="42"/>
        <v>17</v>
      </c>
      <c r="J615" s="9">
        <f t="shared" si="41"/>
        <v>4</v>
      </c>
      <c r="K615" s="10" t="str">
        <f t="shared" si="40"/>
        <v>S2R17B4</v>
      </c>
      <c r="L615" s="10" t="s">
        <v>1899</v>
      </c>
      <c r="M615" s="10">
        <f>IF(Table1[[#This Row],[ID ROW]]&lt;=12,Table1[[#This Row],[ID ROW]],Table1[[#This Row],[ID ROW]]+INT((Table1[[#This Row],[ID ROW]]-1)/12)*2)</f>
        <v>19</v>
      </c>
      <c r="N615" s="10" t="str">
        <f t="shared" si="43"/>
        <v>LSR19B4</v>
      </c>
      <c r="O615" s="10">
        <f>IF(Table1[[#This Row],[ID ROW]]&lt;=12,1,INT((Table1[[#This Row],[ID ROW]]-1)/12)+1)</f>
        <v>2</v>
      </c>
      <c r="P615" s="10">
        <f>Table1[[#This Row],[ID ROW]]-((Table1[[#This Row],[SECT]]-1)*12)</f>
        <v>5</v>
      </c>
    </row>
    <row r="616" spans="1:16" ht="15.75" customHeight="1" x14ac:dyDescent="0.3">
      <c r="A616" s="6" t="s">
        <v>165</v>
      </c>
      <c r="B616" s="6" t="s">
        <v>2221</v>
      </c>
      <c r="C616" s="6" t="s">
        <v>2222</v>
      </c>
      <c r="D616" s="6" t="s">
        <v>2223</v>
      </c>
      <c r="F616" s="13" t="s">
        <v>2224</v>
      </c>
      <c r="G616" s="8">
        <v>93</v>
      </c>
      <c r="H616" s="21" t="s">
        <v>1898</v>
      </c>
      <c r="I616" s="9">
        <f t="shared" si="42"/>
        <v>17</v>
      </c>
      <c r="J616" s="9">
        <f t="shared" si="41"/>
        <v>5</v>
      </c>
      <c r="K616" s="10" t="str">
        <f t="shared" si="40"/>
        <v>S2R17B5</v>
      </c>
      <c r="L616" s="10" t="s">
        <v>1899</v>
      </c>
      <c r="M616" s="10">
        <f>IF(Table1[[#This Row],[ID ROW]]&lt;=12,Table1[[#This Row],[ID ROW]],Table1[[#This Row],[ID ROW]]+INT((Table1[[#This Row],[ID ROW]]-1)/12)*2)</f>
        <v>19</v>
      </c>
      <c r="N616" s="10" t="str">
        <f t="shared" si="43"/>
        <v>LSR19B5</v>
      </c>
      <c r="O616" s="10">
        <f>IF(Table1[[#This Row],[ID ROW]]&lt;=12,1,INT((Table1[[#This Row],[ID ROW]]-1)/12)+1)</f>
        <v>2</v>
      </c>
      <c r="P616" s="10">
        <f>Table1[[#This Row],[ID ROW]]-((Table1[[#This Row],[SECT]]-1)*12)</f>
        <v>5</v>
      </c>
    </row>
    <row r="617" spans="1:16" ht="15.75" customHeight="1" x14ac:dyDescent="0.25">
      <c r="A617" s="6" t="s">
        <v>2225</v>
      </c>
      <c r="B617" s="6" t="s">
        <v>2226</v>
      </c>
      <c r="C617" s="6" t="s">
        <v>2227</v>
      </c>
      <c r="D617" s="6" t="s">
        <v>2228</v>
      </c>
      <c r="F617" s="7" t="s">
        <v>2229</v>
      </c>
      <c r="G617" s="8">
        <v>94</v>
      </c>
      <c r="H617" s="21" t="s">
        <v>1898</v>
      </c>
      <c r="I617" s="9">
        <f t="shared" si="42"/>
        <v>17</v>
      </c>
      <c r="J617" s="9">
        <f t="shared" si="41"/>
        <v>6</v>
      </c>
      <c r="K617" s="10" t="str">
        <f t="shared" si="40"/>
        <v>S2R17B6</v>
      </c>
      <c r="L617" s="10" t="s">
        <v>1899</v>
      </c>
      <c r="M617" s="10">
        <f>IF(Table1[[#This Row],[ID ROW]]&lt;=12,Table1[[#This Row],[ID ROW]],Table1[[#This Row],[ID ROW]]+INT((Table1[[#This Row],[ID ROW]]-1)/12)*2)</f>
        <v>19</v>
      </c>
      <c r="N617" s="10" t="str">
        <f t="shared" si="43"/>
        <v>LSR19B6</v>
      </c>
      <c r="O617" s="10">
        <f>IF(Table1[[#This Row],[ID ROW]]&lt;=12,1,INT((Table1[[#This Row],[ID ROW]]-1)/12)+1)</f>
        <v>2</v>
      </c>
      <c r="P617" s="10">
        <f>Table1[[#This Row],[ID ROW]]-((Table1[[#This Row],[SECT]]-1)*12)</f>
        <v>5</v>
      </c>
    </row>
    <row r="618" spans="1:16" ht="15.75" customHeight="1" x14ac:dyDescent="0.3">
      <c r="A618" s="6" t="s">
        <v>2230</v>
      </c>
      <c r="B618" s="6" t="s">
        <v>2231</v>
      </c>
      <c r="C618" s="6" t="s">
        <v>296</v>
      </c>
      <c r="F618" s="13" t="s">
        <v>2232</v>
      </c>
      <c r="G618" s="8">
        <v>95</v>
      </c>
      <c r="H618" s="21" t="s">
        <v>1898</v>
      </c>
      <c r="I618" s="9">
        <f t="shared" si="42"/>
        <v>18</v>
      </c>
      <c r="J618" s="9">
        <f t="shared" si="41"/>
        <v>1</v>
      </c>
      <c r="K618" s="10" t="str">
        <f t="shared" si="40"/>
        <v>S2R18B1</v>
      </c>
      <c r="L618" s="10" t="s">
        <v>1899</v>
      </c>
      <c r="M618" s="10">
        <f>IF(Table1[[#This Row],[ID ROW]]&lt;=12,Table1[[#This Row],[ID ROW]],Table1[[#This Row],[ID ROW]]+INT((Table1[[#This Row],[ID ROW]]-1)/12)*2)</f>
        <v>20</v>
      </c>
      <c r="N618" s="10" t="str">
        <f t="shared" si="43"/>
        <v>LSR20B1</v>
      </c>
      <c r="O618" s="10">
        <f>IF(Table1[[#This Row],[ID ROW]]&lt;=12,1,INT((Table1[[#This Row],[ID ROW]]-1)/12)+1)</f>
        <v>2</v>
      </c>
      <c r="P618" s="10">
        <f>Table1[[#This Row],[ID ROW]]-((Table1[[#This Row],[SECT]]-1)*12)</f>
        <v>6</v>
      </c>
    </row>
    <row r="619" spans="1:16" ht="15.75" customHeight="1" x14ac:dyDescent="0.25">
      <c r="A619" s="6" t="s">
        <v>2233</v>
      </c>
      <c r="B619" s="6" t="s">
        <v>2234</v>
      </c>
      <c r="C619" s="6" t="s">
        <v>2235</v>
      </c>
      <c r="D619" s="6" t="s">
        <v>2236</v>
      </c>
      <c r="F619" s="7" t="s">
        <v>2237</v>
      </c>
      <c r="G619" s="8">
        <v>96</v>
      </c>
      <c r="H619" s="21" t="s">
        <v>1898</v>
      </c>
      <c r="I619" s="9">
        <f t="shared" si="42"/>
        <v>18</v>
      </c>
      <c r="J619" s="9">
        <f t="shared" si="41"/>
        <v>2</v>
      </c>
      <c r="K619" s="10" t="str">
        <f t="shared" si="40"/>
        <v>S2R18B2</v>
      </c>
      <c r="L619" s="10" t="s">
        <v>1899</v>
      </c>
      <c r="M619" s="10">
        <f>IF(Table1[[#This Row],[ID ROW]]&lt;=12,Table1[[#This Row],[ID ROW]],Table1[[#This Row],[ID ROW]]+INT((Table1[[#This Row],[ID ROW]]-1)/12)*2)</f>
        <v>20</v>
      </c>
      <c r="N619" s="10" t="str">
        <f t="shared" si="43"/>
        <v>LSR20B2</v>
      </c>
      <c r="O619" s="10">
        <f>IF(Table1[[#This Row],[ID ROW]]&lt;=12,1,INT((Table1[[#This Row],[ID ROW]]-1)/12)+1)</f>
        <v>2</v>
      </c>
      <c r="P619" s="10">
        <f>Table1[[#This Row],[ID ROW]]-((Table1[[#This Row],[SECT]]-1)*12)</f>
        <v>6</v>
      </c>
    </row>
    <row r="620" spans="1:16" ht="15.75" customHeight="1" x14ac:dyDescent="0.3">
      <c r="A620" s="6" t="s">
        <v>2238</v>
      </c>
      <c r="B620" s="6" t="s">
        <v>2239</v>
      </c>
      <c r="F620" s="13" t="s">
        <v>2237</v>
      </c>
      <c r="G620" s="8">
        <v>97</v>
      </c>
      <c r="H620" s="21" t="s">
        <v>1898</v>
      </c>
      <c r="I620" s="9">
        <f t="shared" si="42"/>
        <v>18</v>
      </c>
      <c r="J620" s="9">
        <f t="shared" si="41"/>
        <v>3</v>
      </c>
      <c r="K620" s="10" t="str">
        <f t="shared" si="40"/>
        <v>S2R18B3</v>
      </c>
      <c r="L620" s="10" t="s">
        <v>1899</v>
      </c>
      <c r="M620" s="10">
        <f>IF(Table1[[#This Row],[ID ROW]]&lt;=12,Table1[[#This Row],[ID ROW]],Table1[[#This Row],[ID ROW]]+INT((Table1[[#This Row],[ID ROW]]-1)/12)*2)</f>
        <v>20</v>
      </c>
      <c r="N620" s="10" t="str">
        <f t="shared" si="43"/>
        <v>LSR20B3</v>
      </c>
      <c r="O620" s="10">
        <f>IF(Table1[[#This Row],[ID ROW]]&lt;=12,1,INT((Table1[[#This Row],[ID ROW]]-1)/12)+1)</f>
        <v>2</v>
      </c>
      <c r="P620" s="10">
        <f>Table1[[#This Row],[ID ROW]]-((Table1[[#This Row],[SECT]]-1)*12)</f>
        <v>6</v>
      </c>
    </row>
    <row r="621" spans="1:16" ht="15.75" customHeight="1" x14ac:dyDescent="0.25">
      <c r="A621" s="6" t="s">
        <v>2240</v>
      </c>
      <c r="B621" s="6" t="s">
        <v>2241</v>
      </c>
      <c r="C621" s="6" t="s">
        <v>731</v>
      </c>
      <c r="D621" s="6" t="s">
        <v>2242</v>
      </c>
      <c r="F621" s="7" t="s">
        <v>2237</v>
      </c>
      <c r="G621" s="8">
        <v>98</v>
      </c>
      <c r="H621" s="21" t="s">
        <v>1898</v>
      </c>
      <c r="I621" s="9">
        <f t="shared" si="42"/>
        <v>18</v>
      </c>
      <c r="J621" s="9">
        <f t="shared" si="41"/>
        <v>4</v>
      </c>
      <c r="K621" s="10" t="str">
        <f t="shared" si="40"/>
        <v>S2R18B4</v>
      </c>
      <c r="L621" s="10" t="s">
        <v>1899</v>
      </c>
      <c r="M621" s="10">
        <f>IF(Table1[[#This Row],[ID ROW]]&lt;=12,Table1[[#This Row],[ID ROW]],Table1[[#This Row],[ID ROW]]+INT((Table1[[#This Row],[ID ROW]]-1)/12)*2)</f>
        <v>20</v>
      </c>
      <c r="N621" s="10" t="str">
        <f t="shared" si="43"/>
        <v>LSR20B4</v>
      </c>
      <c r="O621" s="10">
        <f>IF(Table1[[#This Row],[ID ROW]]&lt;=12,1,INT((Table1[[#This Row],[ID ROW]]-1)/12)+1)</f>
        <v>2</v>
      </c>
      <c r="P621" s="10">
        <f>Table1[[#This Row],[ID ROW]]-((Table1[[#This Row],[SECT]]-1)*12)</f>
        <v>6</v>
      </c>
    </row>
    <row r="622" spans="1:16" ht="15.75" customHeight="1" x14ac:dyDescent="0.3">
      <c r="A622" s="6" t="s">
        <v>2243</v>
      </c>
      <c r="B622" s="6" t="s">
        <v>2244</v>
      </c>
      <c r="C622" s="6" t="s">
        <v>2245</v>
      </c>
      <c r="F622" s="13" t="s">
        <v>2246</v>
      </c>
      <c r="G622" s="8">
        <v>99</v>
      </c>
      <c r="H622" s="21" t="s">
        <v>1898</v>
      </c>
      <c r="I622" s="9">
        <f t="shared" si="42"/>
        <v>18</v>
      </c>
      <c r="J622" s="9">
        <f t="shared" si="41"/>
        <v>5</v>
      </c>
      <c r="K622" s="10" t="str">
        <f t="shared" si="40"/>
        <v>S2R18B5</v>
      </c>
      <c r="L622" s="10" t="s">
        <v>1899</v>
      </c>
      <c r="M622" s="10">
        <f>IF(Table1[[#This Row],[ID ROW]]&lt;=12,Table1[[#This Row],[ID ROW]],Table1[[#This Row],[ID ROW]]+INT((Table1[[#This Row],[ID ROW]]-1)/12)*2)</f>
        <v>20</v>
      </c>
      <c r="N622" s="10" t="str">
        <f t="shared" si="43"/>
        <v>LSR20B5</v>
      </c>
      <c r="O622" s="10">
        <f>IF(Table1[[#This Row],[ID ROW]]&lt;=12,1,INT((Table1[[#This Row],[ID ROW]]-1)/12)+1)</f>
        <v>2</v>
      </c>
      <c r="P622" s="10">
        <f>Table1[[#This Row],[ID ROW]]-((Table1[[#This Row],[SECT]]-1)*12)</f>
        <v>6</v>
      </c>
    </row>
    <row r="623" spans="1:16" ht="15.75" customHeight="1" x14ac:dyDescent="0.25">
      <c r="A623" s="6" t="s">
        <v>2247</v>
      </c>
      <c r="B623" s="6" t="s">
        <v>2248</v>
      </c>
      <c r="C623" s="6" t="s">
        <v>2249</v>
      </c>
      <c r="D623" s="6" t="s">
        <v>106</v>
      </c>
      <c r="F623" s="7" t="s">
        <v>2250</v>
      </c>
      <c r="G623" s="8">
        <v>100</v>
      </c>
      <c r="H623" s="21" t="s">
        <v>1898</v>
      </c>
      <c r="I623" s="9">
        <f t="shared" si="42"/>
        <v>19</v>
      </c>
      <c r="J623" s="9">
        <f t="shared" si="41"/>
        <v>1</v>
      </c>
      <c r="K623" s="10" t="str">
        <f t="shared" si="40"/>
        <v>S2R19B1</v>
      </c>
      <c r="L623" s="10" t="s">
        <v>1899</v>
      </c>
      <c r="M623" s="10">
        <f>IF(Table1[[#This Row],[ID ROW]]&lt;=12,Table1[[#This Row],[ID ROW]],Table1[[#This Row],[ID ROW]]+INT((Table1[[#This Row],[ID ROW]]-1)/12)*2)</f>
        <v>21</v>
      </c>
      <c r="N623" s="10" t="str">
        <f t="shared" si="43"/>
        <v>LSR21B1</v>
      </c>
      <c r="O623" s="10">
        <f>IF(Table1[[#This Row],[ID ROW]]&lt;=12,1,INT((Table1[[#This Row],[ID ROW]]-1)/12)+1)</f>
        <v>2</v>
      </c>
      <c r="P623" s="10">
        <f>Table1[[#This Row],[ID ROW]]-((Table1[[#This Row],[SECT]]-1)*12)</f>
        <v>7</v>
      </c>
    </row>
    <row r="624" spans="1:16" ht="15.75" customHeight="1" x14ac:dyDescent="0.3">
      <c r="A624" s="6" t="s">
        <v>2251</v>
      </c>
      <c r="B624" s="6" t="s">
        <v>120</v>
      </c>
      <c r="C624" s="6" t="s">
        <v>2252</v>
      </c>
      <c r="F624" s="13" t="s">
        <v>2253</v>
      </c>
      <c r="G624" s="8">
        <v>101</v>
      </c>
      <c r="H624" s="21" t="s">
        <v>1898</v>
      </c>
      <c r="I624" s="9">
        <f t="shared" si="42"/>
        <v>19</v>
      </c>
      <c r="J624" s="9">
        <f t="shared" si="41"/>
        <v>2</v>
      </c>
      <c r="K624" s="10" t="str">
        <f t="shared" si="40"/>
        <v>S2R19B2</v>
      </c>
      <c r="L624" s="10" t="s">
        <v>1899</v>
      </c>
      <c r="M624" s="10">
        <f>IF(Table1[[#This Row],[ID ROW]]&lt;=12,Table1[[#This Row],[ID ROW]],Table1[[#This Row],[ID ROW]]+INT((Table1[[#This Row],[ID ROW]]-1)/12)*2)</f>
        <v>21</v>
      </c>
      <c r="N624" s="10" t="str">
        <f t="shared" si="43"/>
        <v>LSR21B2</v>
      </c>
      <c r="O624" s="10">
        <f>IF(Table1[[#This Row],[ID ROW]]&lt;=12,1,INT((Table1[[#This Row],[ID ROW]]-1)/12)+1)</f>
        <v>2</v>
      </c>
      <c r="P624" s="10">
        <f>Table1[[#This Row],[ID ROW]]-((Table1[[#This Row],[SECT]]-1)*12)</f>
        <v>7</v>
      </c>
    </row>
    <row r="625" spans="1:16" ht="15.75" customHeight="1" x14ac:dyDescent="0.25">
      <c r="A625" s="6" t="s">
        <v>2254</v>
      </c>
      <c r="B625" s="6" t="s">
        <v>2255</v>
      </c>
      <c r="C625" s="6" t="s">
        <v>647</v>
      </c>
      <c r="F625" s="7" t="s">
        <v>2256</v>
      </c>
      <c r="G625" s="8">
        <v>102</v>
      </c>
      <c r="H625" s="21" t="s">
        <v>1898</v>
      </c>
      <c r="I625" s="9">
        <f t="shared" si="42"/>
        <v>19</v>
      </c>
      <c r="J625" s="9">
        <f t="shared" si="41"/>
        <v>3</v>
      </c>
      <c r="K625" s="10" t="str">
        <f t="shared" si="40"/>
        <v>S2R19B3</v>
      </c>
      <c r="L625" s="10" t="s">
        <v>1899</v>
      </c>
      <c r="M625" s="10">
        <f>IF(Table1[[#This Row],[ID ROW]]&lt;=12,Table1[[#This Row],[ID ROW]],Table1[[#This Row],[ID ROW]]+INT((Table1[[#This Row],[ID ROW]]-1)/12)*2)</f>
        <v>21</v>
      </c>
      <c r="N625" s="10" t="str">
        <f t="shared" si="43"/>
        <v>LSR21B3</v>
      </c>
      <c r="O625" s="10">
        <f>IF(Table1[[#This Row],[ID ROW]]&lt;=12,1,INT((Table1[[#This Row],[ID ROW]]-1)/12)+1)</f>
        <v>2</v>
      </c>
      <c r="P625" s="10">
        <f>Table1[[#This Row],[ID ROW]]-((Table1[[#This Row],[SECT]]-1)*12)</f>
        <v>7</v>
      </c>
    </row>
    <row r="626" spans="1:16" ht="15.75" customHeight="1" x14ac:dyDescent="0.3">
      <c r="A626" s="6" t="s">
        <v>2257</v>
      </c>
      <c r="B626" s="6" t="s">
        <v>2258</v>
      </c>
      <c r="C626" s="6" t="s">
        <v>2259</v>
      </c>
      <c r="F626" s="13" t="s">
        <v>2256</v>
      </c>
      <c r="G626" s="8">
        <v>103</v>
      </c>
      <c r="H626" s="21" t="s">
        <v>1898</v>
      </c>
      <c r="I626" s="9">
        <f t="shared" si="42"/>
        <v>19</v>
      </c>
      <c r="J626" s="9">
        <f t="shared" si="41"/>
        <v>4</v>
      </c>
      <c r="K626" s="10" t="str">
        <f t="shared" si="40"/>
        <v>S2R19B4</v>
      </c>
      <c r="L626" s="10" t="s">
        <v>1899</v>
      </c>
      <c r="M626" s="10">
        <f>IF(Table1[[#This Row],[ID ROW]]&lt;=12,Table1[[#This Row],[ID ROW]],Table1[[#This Row],[ID ROW]]+INT((Table1[[#This Row],[ID ROW]]-1)/12)*2)</f>
        <v>21</v>
      </c>
      <c r="N626" s="10" t="str">
        <f t="shared" si="43"/>
        <v>LSR21B4</v>
      </c>
      <c r="O626" s="10">
        <f>IF(Table1[[#This Row],[ID ROW]]&lt;=12,1,INT((Table1[[#This Row],[ID ROW]]-1)/12)+1)</f>
        <v>2</v>
      </c>
      <c r="P626" s="10">
        <f>Table1[[#This Row],[ID ROW]]-((Table1[[#This Row],[SECT]]-1)*12)</f>
        <v>7</v>
      </c>
    </row>
    <row r="627" spans="1:16" ht="15.75" customHeight="1" x14ac:dyDescent="0.25">
      <c r="A627" s="6" t="s">
        <v>2260</v>
      </c>
      <c r="B627" s="6" t="s">
        <v>2261</v>
      </c>
      <c r="C627" s="6" t="s">
        <v>2262</v>
      </c>
      <c r="F627" s="7" t="s">
        <v>2263</v>
      </c>
      <c r="G627" s="8">
        <v>104</v>
      </c>
      <c r="H627" s="21" t="s">
        <v>1898</v>
      </c>
      <c r="I627" s="9">
        <f t="shared" si="42"/>
        <v>19</v>
      </c>
      <c r="J627" s="9">
        <f t="shared" si="41"/>
        <v>5</v>
      </c>
      <c r="K627" s="10" t="str">
        <f t="shared" si="40"/>
        <v>S2R19B5</v>
      </c>
      <c r="L627" s="10" t="s">
        <v>1899</v>
      </c>
      <c r="M627" s="10">
        <f>IF(Table1[[#This Row],[ID ROW]]&lt;=12,Table1[[#This Row],[ID ROW]],Table1[[#This Row],[ID ROW]]+INT((Table1[[#This Row],[ID ROW]]-1)/12)*2)</f>
        <v>21</v>
      </c>
      <c r="N627" s="10" t="str">
        <f t="shared" si="43"/>
        <v>LSR21B5</v>
      </c>
      <c r="O627" s="10">
        <f>IF(Table1[[#This Row],[ID ROW]]&lt;=12,1,INT((Table1[[#This Row],[ID ROW]]-1)/12)+1)</f>
        <v>2</v>
      </c>
      <c r="P627" s="10">
        <f>Table1[[#This Row],[ID ROW]]-((Table1[[#This Row],[SECT]]-1)*12)</f>
        <v>7</v>
      </c>
    </row>
    <row r="628" spans="1:16" ht="15.75" customHeight="1" x14ac:dyDescent="0.3">
      <c r="A628" s="6" t="s">
        <v>2264</v>
      </c>
      <c r="B628" s="6" t="s">
        <v>2265</v>
      </c>
      <c r="C628" s="6" t="s">
        <v>2266</v>
      </c>
      <c r="F628" s="13" t="s">
        <v>2263</v>
      </c>
      <c r="G628" s="8">
        <v>105</v>
      </c>
      <c r="H628" s="21" t="s">
        <v>1898</v>
      </c>
      <c r="I628" s="9">
        <f t="shared" si="42"/>
        <v>19</v>
      </c>
      <c r="J628" s="9">
        <f t="shared" si="41"/>
        <v>6</v>
      </c>
      <c r="K628" s="10" t="str">
        <f t="shared" si="40"/>
        <v>S2R19B6</v>
      </c>
      <c r="L628" s="10" t="s">
        <v>1899</v>
      </c>
      <c r="M628" s="10">
        <f>IF(Table1[[#This Row],[ID ROW]]&lt;=12,Table1[[#This Row],[ID ROW]],Table1[[#This Row],[ID ROW]]+INT((Table1[[#This Row],[ID ROW]]-1)/12)*2)</f>
        <v>21</v>
      </c>
      <c r="N628" s="10" t="str">
        <f t="shared" si="43"/>
        <v>LSR21B6</v>
      </c>
      <c r="O628" s="10">
        <f>IF(Table1[[#This Row],[ID ROW]]&lt;=12,1,INT((Table1[[#This Row],[ID ROW]]-1)/12)+1)</f>
        <v>2</v>
      </c>
      <c r="P628" s="10">
        <f>Table1[[#This Row],[ID ROW]]-((Table1[[#This Row],[SECT]]-1)*12)</f>
        <v>7</v>
      </c>
    </row>
    <row r="629" spans="1:16" ht="15.75" customHeight="1" x14ac:dyDescent="0.25">
      <c r="A629" s="6" t="s">
        <v>2267</v>
      </c>
      <c r="B629" s="6" t="s">
        <v>2268</v>
      </c>
      <c r="C629" s="6" t="s">
        <v>2201</v>
      </c>
      <c r="D629" s="6" t="s">
        <v>2269</v>
      </c>
      <c r="F629" s="7" t="s">
        <v>2270</v>
      </c>
      <c r="G629" s="8">
        <v>106</v>
      </c>
      <c r="H629" s="21" t="s">
        <v>1898</v>
      </c>
      <c r="I629" s="9">
        <f t="shared" si="42"/>
        <v>20</v>
      </c>
      <c r="J629" s="9">
        <f t="shared" si="41"/>
        <v>1</v>
      </c>
      <c r="K629" s="10" t="str">
        <f t="shared" si="40"/>
        <v>S2R20B1</v>
      </c>
      <c r="L629" s="10" t="s">
        <v>1899</v>
      </c>
      <c r="M629" s="10">
        <f>IF(Table1[[#This Row],[ID ROW]]&lt;=12,Table1[[#This Row],[ID ROW]],Table1[[#This Row],[ID ROW]]+INT((Table1[[#This Row],[ID ROW]]-1)/12)*2)</f>
        <v>22</v>
      </c>
      <c r="N629" s="10" t="str">
        <f t="shared" si="43"/>
        <v>LSR22B1</v>
      </c>
      <c r="O629" s="10">
        <f>IF(Table1[[#This Row],[ID ROW]]&lt;=12,1,INT((Table1[[#This Row],[ID ROW]]-1)/12)+1)</f>
        <v>2</v>
      </c>
      <c r="P629" s="10">
        <f>Table1[[#This Row],[ID ROW]]-((Table1[[#This Row],[SECT]]-1)*12)</f>
        <v>8</v>
      </c>
    </row>
    <row r="630" spans="1:16" ht="15.75" customHeight="1" x14ac:dyDescent="0.3">
      <c r="A630" s="6" t="s">
        <v>2271</v>
      </c>
      <c r="B630" s="6" t="s">
        <v>2272</v>
      </c>
      <c r="C630" s="6" t="s">
        <v>621</v>
      </c>
      <c r="D630" s="6" t="s">
        <v>2273</v>
      </c>
      <c r="F630" s="13" t="s">
        <v>2274</v>
      </c>
      <c r="G630" s="8">
        <v>107</v>
      </c>
      <c r="H630" s="21" t="s">
        <v>1898</v>
      </c>
      <c r="I630" s="9">
        <f t="shared" si="42"/>
        <v>20</v>
      </c>
      <c r="J630" s="9">
        <f t="shared" si="41"/>
        <v>2</v>
      </c>
      <c r="K630" s="10" t="str">
        <f t="shared" si="40"/>
        <v>S2R20B2</v>
      </c>
      <c r="L630" s="10" t="s">
        <v>1899</v>
      </c>
      <c r="M630" s="10">
        <f>IF(Table1[[#This Row],[ID ROW]]&lt;=12,Table1[[#This Row],[ID ROW]],Table1[[#This Row],[ID ROW]]+INT((Table1[[#This Row],[ID ROW]]-1)/12)*2)</f>
        <v>22</v>
      </c>
      <c r="N630" s="10" t="str">
        <f t="shared" si="43"/>
        <v>LSR22B2</v>
      </c>
      <c r="O630" s="10">
        <f>IF(Table1[[#This Row],[ID ROW]]&lt;=12,1,INT((Table1[[#This Row],[ID ROW]]-1)/12)+1)</f>
        <v>2</v>
      </c>
      <c r="P630" s="10">
        <f>Table1[[#This Row],[ID ROW]]-((Table1[[#This Row],[SECT]]-1)*12)</f>
        <v>8</v>
      </c>
    </row>
    <row r="631" spans="1:16" ht="15.75" customHeight="1" x14ac:dyDescent="0.25">
      <c r="A631" s="6" t="s">
        <v>2275</v>
      </c>
      <c r="B631" s="6" t="s">
        <v>2276</v>
      </c>
      <c r="C631" s="6" t="s">
        <v>2277</v>
      </c>
      <c r="D631" s="6" t="s">
        <v>285</v>
      </c>
      <c r="F631" s="7" t="s">
        <v>2278</v>
      </c>
      <c r="G631" s="8">
        <v>108</v>
      </c>
      <c r="H631" s="21" t="s">
        <v>1898</v>
      </c>
      <c r="I631" s="9">
        <f t="shared" si="42"/>
        <v>20</v>
      </c>
      <c r="J631" s="9">
        <f t="shared" si="41"/>
        <v>3</v>
      </c>
      <c r="K631" s="10" t="str">
        <f t="shared" si="40"/>
        <v>S2R20B3</v>
      </c>
      <c r="L631" s="10" t="s">
        <v>1899</v>
      </c>
      <c r="M631" s="10">
        <f>IF(Table1[[#This Row],[ID ROW]]&lt;=12,Table1[[#This Row],[ID ROW]],Table1[[#This Row],[ID ROW]]+INT((Table1[[#This Row],[ID ROW]]-1)/12)*2)</f>
        <v>22</v>
      </c>
      <c r="N631" s="10" t="str">
        <f t="shared" si="43"/>
        <v>LSR22B3</v>
      </c>
      <c r="O631" s="10">
        <f>IF(Table1[[#This Row],[ID ROW]]&lt;=12,1,INT((Table1[[#This Row],[ID ROW]]-1)/12)+1)</f>
        <v>2</v>
      </c>
      <c r="P631" s="10">
        <f>Table1[[#This Row],[ID ROW]]-((Table1[[#This Row],[SECT]]-1)*12)</f>
        <v>8</v>
      </c>
    </row>
    <row r="632" spans="1:16" ht="15.75" customHeight="1" x14ac:dyDescent="0.3">
      <c r="A632" s="6" t="s">
        <v>2279</v>
      </c>
      <c r="B632" s="6" t="s">
        <v>2280</v>
      </c>
      <c r="C632" s="6" t="s">
        <v>2281</v>
      </c>
      <c r="D632" s="6" t="s">
        <v>67</v>
      </c>
      <c r="F632" s="13" t="s">
        <v>2278</v>
      </c>
      <c r="G632" s="8">
        <v>109</v>
      </c>
      <c r="H632" s="21" t="s">
        <v>1898</v>
      </c>
      <c r="I632" s="9">
        <f t="shared" si="42"/>
        <v>20</v>
      </c>
      <c r="J632" s="9">
        <f t="shared" si="41"/>
        <v>4</v>
      </c>
      <c r="K632" s="10" t="str">
        <f t="shared" si="40"/>
        <v>S2R20B4</v>
      </c>
      <c r="L632" s="10" t="s">
        <v>1899</v>
      </c>
      <c r="M632" s="10">
        <f>IF(Table1[[#This Row],[ID ROW]]&lt;=12,Table1[[#This Row],[ID ROW]],Table1[[#This Row],[ID ROW]]+INT((Table1[[#This Row],[ID ROW]]-1)/12)*2)</f>
        <v>22</v>
      </c>
      <c r="N632" s="10" t="str">
        <f t="shared" si="43"/>
        <v>LSR22B4</v>
      </c>
      <c r="O632" s="10">
        <f>IF(Table1[[#This Row],[ID ROW]]&lt;=12,1,INT((Table1[[#This Row],[ID ROW]]-1)/12)+1)</f>
        <v>2</v>
      </c>
      <c r="P632" s="10">
        <f>Table1[[#This Row],[ID ROW]]-((Table1[[#This Row],[SECT]]-1)*12)</f>
        <v>8</v>
      </c>
    </row>
    <row r="633" spans="1:16" ht="15.75" customHeight="1" x14ac:dyDescent="0.25">
      <c r="A633" s="6" t="s">
        <v>2282</v>
      </c>
      <c r="B633" s="6" t="s">
        <v>2283</v>
      </c>
      <c r="C633" s="6" t="s">
        <v>67</v>
      </c>
      <c r="F633" s="7" t="s">
        <v>2284</v>
      </c>
      <c r="G633" s="8">
        <v>110</v>
      </c>
      <c r="H633" s="21" t="s">
        <v>1898</v>
      </c>
      <c r="I633" s="9">
        <f t="shared" si="42"/>
        <v>20</v>
      </c>
      <c r="J633" s="9">
        <f t="shared" si="41"/>
        <v>5</v>
      </c>
      <c r="K633" s="10" t="str">
        <f t="shared" si="40"/>
        <v>S2R20B5</v>
      </c>
      <c r="L633" s="10" t="s">
        <v>1899</v>
      </c>
      <c r="M633" s="10">
        <f>IF(Table1[[#This Row],[ID ROW]]&lt;=12,Table1[[#This Row],[ID ROW]],Table1[[#This Row],[ID ROW]]+INT((Table1[[#This Row],[ID ROW]]-1)/12)*2)</f>
        <v>22</v>
      </c>
      <c r="N633" s="10" t="str">
        <f t="shared" si="43"/>
        <v>LSR22B5</v>
      </c>
      <c r="O633" s="10">
        <f>IF(Table1[[#This Row],[ID ROW]]&lt;=12,1,INT((Table1[[#This Row],[ID ROW]]-1)/12)+1)</f>
        <v>2</v>
      </c>
      <c r="P633" s="10">
        <f>Table1[[#This Row],[ID ROW]]-((Table1[[#This Row],[SECT]]-1)*12)</f>
        <v>8</v>
      </c>
    </row>
    <row r="634" spans="1:16" ht="15.75" customHeight="1" x14ac:dyDescent="0.3">
      <c r="A634" s="6" t="s">
        <v>2285</v>
      </c>
      <c r="B634" s="6" t="s">
        <v>656</v>
      </c>
      <c r="C634" s="6" t="s">
        <v>117</v>
      </c>
      <c r="D634" s="6" t="s">
        <v>857</v>
      </c>
      <c r="F634" s="13" t="s">
        <v>2286</v>
      </c>
      <c r="G634" s="8">
        <v>111</v>
      </c>
      <c r="H634" s="21" t="s">
        <v>1898</v>
      </c>
      <c r="I634" s="9">
        <f t="shared" si="42"/>
        <v>21</v>
      </c>
      <c r="J634" s="9">
        <f t="shared" si="41"/>
        <v>1</v>
      </c>
      <c r="K634" s="10" t="str">
        <f t="shared" si="40"/>
        <v>S2R21B1</v>
      </c>
      <c r="L634" s="10" t="s">
        <v>1899</v>
      </c>
      <c r="M634" s="10">
        <f>IF(Table1[[#This Row],[ID ROW]]&lt;=12,Table1[[#This Row],[ID ROW]],Table1[[#This Row],[ID ROW]]+INT((Table1[[#This Row],[ID ROW]]-1)/12)*2)</f>
        <v>23</v>
      </c>
      <c r="N634" s="10" t="str">
        <f t="shared" si="43"/>
        <v>LSR23B1</v>
      </c>
      <c r="O634" s="10">
        <f>IF(Table1[[#This Row],[ID ROW]]&lt;=12,1,INT((Table1[[#This Row],[ID ROW]]-1)/12)+1)</f>
        <v>2</v>
      </c>
      <c r="P634" s="10">
        <f>Table1[[#This Row],[ID ROW]]-((Table1[[#This Row],[SECT]]-1)*12)</f>
        <v>9</v>
      </c>
    </row>
    <row r="635" spans="1:16" ht="15.75" customHeight="1" x14ac:dyDescent="0.25">
      <c r="A635" s="6" t="s">
        <v>2287</v>
      </c>
      <c r="B635" s="6" t="s">
        <v>2288</v>
      </c>
      <c r="C635" s="6" t="s">
        <v>2289</v>
      </c>
      <c r="D635" s="6" t="s">
        <v>2290</v>
      </c>
      <c r="F635" s="7" t="s">
        <v>2291</v>
      </c>
      <c r="G635" s="8">
        <v>112</v>
      </c>
      <c r="H635" s="21" t="s">
        <v>1898</v>
      </c>
      <c r="I635" s="9">
        <f t="shared" si="42"/>
        <v>21</v>
      </c>
      <c r="J635" s="9">
        <f t="shared" si="41"/>
        <v>2</v>
      </c>
      <c r="K635" s="10" t="str">
        <f t="shared" si="40"/>
        <v>S2R21B2</v>
      </c>
      <c r="L635" s="10" t="s">
        <v>1899</v>
      </c>
      <c r="M635" s="10">
        <f>IF(Table1[[#This Row],[ID ROW]]&lt;=12,Table1[[#This Row],[ID ROW]],Table1[[#This Row],[ID ROW]]+INT((Table1[[#This Row],[ID ROW]]-1)/12)*2)</f>
        <v>23</v>
      </c>
      <c r="N635" s="10" t="str">
        <f t="shared" si="43"/>
        <v>LSR23B2</v>
      </c>
      <c r="O635" s="10">
        <f>IF(Table1[[#This Row],[ID ROW]]&lt;=12,1,INT((Table1[[#This Row],[ID ROW]]-1)/12)+1)</f>
        <v>2</v>
      </c>
      <c r="P635" s="10">
        <f>Table1[[#This Row],[ID ROW]]-((Table1[[#This Row],[SECT]]-1)*12)</f>
        <v>9</v>
      </c>
    </row>
    <row r="636" spans="1:16" ht="15.75" customHeight="1" x14ac:dyDescent="0.3">
      <c r="A636" s="6" t="s">
        <v>2292</v>
      </c>
      <c r="B636" s="6" t="s">
        <v>1287</v>
      </c>
      <c r="C636" s="6" t="s">
        <v>2293</v>
      </c>
      <c r="D636" s="6" t="s">
        <v>2294</v>
      </c>
      <c r="F636" s="13" t="s">
        <v>2295</v>
      </c>
      <c r="G636" s="8">
        <v>113</v>
      </c>
      <c r="H636" s="21" t="s">
        <v>1898</v>
      </c>
      <c r="I636" s="9">
        <f t="shared" si="42"/>
        <v>21</v>
      </c>
      <c r="J636" s="9">
        <f t="shared" si="41"/>
        <v>3</v>
      </c>
      <c r="K636" s="10" t="str">
        <f t="shared" si="40"/>
        <v>S2R21B3</v>
      </c>
      <c r="L636" s="10" t="s">
        <v>1899</v>
      </c>
      <c r="M636" s="10">
        <f>IF(Table1[[#This Row],[ID ROW]]&lt;=12,Table1[[#This Row],[ID ROW]],Table1[[#This Row],[ID ROW]]+INT((Table1[[#This Row],[ID ROW]]-1)/12)*2)</f>
        <v>23</v>
      </c>
      <c r="N636" s="10" t="str">
        <f t="shared" si="43"/>
        <v>LSR23B3</v>
      </c>
      <c r="O636" s="10">
        <f>IF(Table1[[#This Row],[ID ROW]]&lt;=12,1,INT((Table1[[#This Row],[ID ROW]]-1)/12)+1)</f>
        <v>2</v>
      </c>
      <c r="P636" s="10">
        <f>Table1[[#This Row],[ID ROW]]-((Table1[[#This Row],[SECT]]-1)*12)</f>
        <v>9</v>
      </c>
    </row>
    <row r="637" spans="1:16" ht="15.75" customHeight="1" x14ac:dyDescent="0.25">
      <c r="A637" s="6" t="s">
        <v>2296</v>
      </c>
      <c r="B637" s="6" t="s">
        <v>234</v>
      </c>
      <c r="C637" s="6" t="s">
        <v>235</v>
      </c>
      <c r="F637" s="7" t="s">
        <v>2297</v>
      </c>
      <c r="G637" s="8">
        <v>114</v>
      </c>
      <c r="H637" s="21" t="s">
        <v>1898</v>
      </c>
      <c r="I637" s="9">
        <f t="shared" si="42"/>
        <v>21</v>
      </c>
      <c r="J637" s="9">
        <f t="shared" si="41"/>
        <v>4</v>
      </c>
      <c r="K637" s="10" t="str">
        <f t="shared" si="40"/>
        <v>S2R21B4</v>
      </c>
      <c r="L637" s="10" t="s">
        <v>1899</v>
      </c>
      <c r="M637" s="10">
        <f>IF(Table1[[#This Row],[ID ROW]]&lt;=12,Table1[[#This Row],[ID ROW]],Table1[[#This Row],[ID ROW]]+INT((Table1[[#This Row],[ID ROW]]-1)/12)*2)</f>
        <v>23</v>
      </c>
      <c r="N637" s="10" t="str">
        <f t="shared" si="43"/>
        <v>LSR23B4</v>
      </c>
      <c r="O637" s="10">
        <f>IF(Table1[[#This Row],[ID ROW]]&lt;=12,1,INT((Table1[[#This Row],[ID ROW]]-1)/12)+1)</f>
        <v>2</v>
      </c>
      <c r="P637" s="10">
        <f>Table1[[#This Row],[ID ROW]]-((Table1[[#This Row],[SECT]]-1)*12)</f>
        <v>9</v>
      </c>
    </row>
    <row r="638" spans="1:16" ht="15.75" customHeight="1" x14ac:dyDescent="0.3">
      <c r="A638" s="6" t="s">
        <v>2298</v>
      </c>
      <c r="B638" s="6" t="s">
        <v>1955</v>
      </c>
      <c r="C638" s="6" t="s">
        <v>2299</v>
      </c>
      <c r="F638" s="13" t="s">
        <v>2300</v>
      </c>
      <c r="G638" s="8">
        <v>115</v>
      </c>
      <c r="H638" s="21" t="s">
        <v>1898</v>
      </c>
      <c r="I638" s="9">
        <f t="shared" si="42"/>
        <v>21</v>
      </c>
      <c r="J638" s="9">
        <f t="shared" si="41"/>
        <v>5</v>
      </c>
      <c r="K638" s="10" t="str">
        <f t="shared" si="40"/>
        <v>S2R21B5</v>
      </c>
      <c r="L638" s="10" t="s">
        <v>1899</v>
      </c>
      <c r="M638" s="10">
        <f>IF(Table1[[#This Row],[ID ROW]]&lt;=12,Table1[[#This Row],[ID ROW]],Table1[[#This Row],[ID ROW]]+INT((Table1[[#This Row],[ID ROW]]-1)/12)*2)</f>
        <v>23</v>
      </c>
      <c r="N638" s="10" t="str">
        <f t="shared" si="43"/>
        <v>LSR23B5</v>
      </c>
      <c r="O638" s="10">
        <f>IF(Table1[[#This Row],[ID ROW]]&lt;=12,1,INT((Table1[[#This Row],[ID ROW]]-1)/12)+1)</f>
        <v>2</v>
      </c>
      <c r="P638" s="10">
        <f>Table1[[#This Row],[ID ROW]]-((Table1[[#This Row],[SECT]]-1)*12)</f>
        <v>9</v>
      </c>
    </row>
    <row r="639" spans="1:16" ht="15.75" customHeight="1" x14ac:dyDescent="0.25">
      <c r="A639" s="6" t="s">
        <v>2301</v>
      </c>
      <c r="B639" s="6" t="s">
        <v>2302</v>
      </c>
      <c r="C639" s="6" t="s">
        <v>2303</v>
      </c>
      <c r="D639" s="6" t="s">
        <v>2304</v>
      </c>
      <c r="F639" s="7" t="s">
        <v>2305</v>
      </c>
      <c r="G639" s="8">
        <v>116</v>
      </c>
      <c r="H639" s="21" t="s">
        <v>1898</v>
      </c>
      <c r="I639" s="9">
        <f t="shared" si="42"/>
        <v>21</v>
      </c>
      <c r="J639" s="9">
        <f t="shared" si="41"/>
        <v>6</v>
      </c>
      <c r="K639" s="10" t="str">
        <f t="shared" si="40"/>
        <v>S2R21B6</v>
      </c>
      <c r="L639" s="10" t="s">
        <v>1899</v>
      </c>
      <c r="M639" s="10">
        <f>IF(Table1[[#This Row],[ID ROW]]&lt;=12,Table1[[#This Row],[ID ROW]],Table1[[#This Row],[ID ROW]]+INT((Table1[[#This Row],[ID ROW]]-1)/12)*2)</f>
        <v>23</v>
      </c>
      <c r="N639" s="10" t="str">
        <f t="shared" si="43"/>
        <v>LSR23B6</v>
      </c>
      <c r="O639" s="10">
        <f>IF(Table1[[#This Row],[ID ROW]]&lt;=12,1,INT((Table1[[#This Row],[ID ROW]]-1)/12)+1)</f>
        <v>2</v>
      </c>
      <c r="P639" s="10">
        <f>Table1[[#This Row],[ID ROW]]-((Table1[[#This Row],[SECT]]-1)*12)</f>
        <v>9</v>
      </c>
    </row>
    <row r="640" spans="1:16" ht="15.75" customHeight="1" x14ac:dyDescent="0.3">
      <c r="A640" s="6" t="s">
        <v>2306</v>
      </c>
      <c r="B640" s="6" t="s">
        <v>2307</v>
      </c>
      <c r="C640" s="6" t="s">
        <v>166</v>
      </c>
      <c r="F640" s="13" t="s">
        <v>2308</v>
      </c>
      <c r="G640" s="8">
        <v>117</v>
      </c>
      <c r="H640" s="21" t="s">
        <v>1898</v>
      </c>
      <c r="I640" s="9">
        <f t="shared" si="42"/>
        <v>22</v>
      </c>
      <c r="J640" s="9">
        <f t="shared" si="41"/>
        <v>1</v>
      </c>
      <c r="K640" s="10" t="str">
        <f t="shared" si="40"/>
        <v>S2R22B1</v>
      </c>
      <c r="L640" s="10" t="s">
        <v>1899</v>
      </c>
      <c r="M640" s="10">
        <f>IF(Table1[[#This Row],[ID ROW]]&lt;=12,Table1[[#This Row],[ID ROW]],Table1[[#This Row],[ID ROW]]+INT((Table1[[#This Row],[ID ROW]]-1)/12)*2)</f>
        <v>24</v>
      </c>
      <c r="N640" s="10" t="str">
        <f t="shared" si="43"/>
        <v>LSR24B1</v>
      </c>
      <c r="O640" s="10">
        <f>IF(Table1[[#This Row],[ID ROW]]&lt;=12,1,INT((Table1[[#This Row],[ID ROW]]-1)/12)+1)</f>
        <v>2</v>
      </c>
      <c r="P640" s="10">
        <f>Table1[[#This Row],[ID ROW]]-((Table1[[#This Row],[SECT]]-1)*12)</f>
        <v>10</v>
      </c>
    </row>
    <row r="641" spans="1:16" ht="15.75" customHeight="1" x14ac:dyDescent="0.25">
      <c r="A641" s="6" t="s">
        <v>2309</v>
      </c>
      <c r="B641" s="6" t="s">
        <v>2310</v>
      </c>
      <c r="C641" s="6" t="s">
        <v>2311</v>
      </c>
      <c r="F641" s="7" t="s">
        <v>2308</v>
      </c>
      <c r="G641" s="8">
        <v>118</v>
      </c>
      <c r="H641" s="21" t="s">
        <v>1898</v>
      </c>
      <c r="I641" s="9">
        <f t="shared" si="42"/>
        <v>22</v>
      </c>
      <c r="J641" s="9">
        <f t="shared" si="41"/>
        <v>2</v>
      </c>
      <c r="K641" s="10" t="str">
        <f t="shared" ref="K641:K704" si="44">H641&amp;"R"&amp;I641&amp;"B"&amp;J641</f>
        <v>S2R22B2</v>
      </c>
      <c r="L641" s="10" t="s">
        <v>1899</v>
      </c>
      <c r="M641" s="10">
        <f>IF(Table1[[#This Row],[ID ROW]]&lt;=12,Table1[[#This Row],[ID ROW]],Table1[[#This Row],[ID ROW]]+INT((Table1[[#This Row],[ID ROW]]-1)/12)*2)</f>
        <v>24</v>
      </c>
      <c r="N641" s="10" t="str">
        <f t="shared" si="43"/>
        <v>LSR24B2</v>
      </c>
      <c r="O641" s="10">
        <f>IF(Table1[[#This Row],[ID ROW]]&lt;=12,1,INT((Table1[[#This Row],[ID ROW]]-1)/12)+1)</f>
        <v>2</v>
      </c>
      <c r="P641" s="10">
        <f>Table1[[#This Row],[ID ROW]]-((Table1[[#This Row],[SECT]]-1)*12)</f>
        <v>10</v>
      </c>
    </row>
    <row r="642" spans="1:16" ht="15.75" customHeight="1" x14ac:dyDescent="0.3">
      <c r="A642" s="6" t="s">
        <v>2312</v>
      </c>
      <c r="B642" s="6" t="s">
        <v>1185</v>
      </c>
      <c r="C642" s="6" t="s">
        <v>259</v>
      </c>
      <c r="F642" s="13" t="s">
        <v>2313</v>
      </c>
      <c r="G642" s="8">
        <v>119</v>
      </c>
      <c r="H642" s="21" t="s">
        <v>1898</v>
      </c>
      <c r="I642" s="9">
        <f t="shared" si="42"/>
        <v>22</v>
      </c>
      <c r="J642" s="9">
        <f t="shared" si="41"/>
        <v>3</v>
      </c>
      <c r="K642" s="10" t="str">
        <f t="shared" si="44"/>
        <v>S2R22B3</v>
      </c>
      <c r="L642" s="10" t="s">
        <v>1899</v>
      </c>
      <c r="M642" s="10">
        <f>IF(Table1[[#This Row],[ID ROW]]&lt;=12,Table1[[#This Row],[ID ROW]],Table1[[#This Row],[ID ROW]]+INT((Table1[[#This Row],[ID ROW]]-1)/12)*2)</f>
        <v>24</v>
      </c>
      <c r="N642" s="10" t="str">
        <f t="shared" si="43"/>
        <v>LSR24B3</v>
      </c>
      <c r="O642" s="10">
        <f>IF(Table1[[#This Row],[ID ROW]]&lt;=12,1,INT((Table1[[#This Row],[ID ROW]]-1)/12)+1)</f>
        <v>2</v>
      </c>
      <c r="P642" s="10">
        <f>Table1[[#This Row],[ID ROW]]-((Table1[[#This Row],[SECT]]-1)*12)</f>
        <v>10</v>
      </c>
    </row>
    <row r="643" spans="1:16" ht="15.75" customHeight="1" x14ac:dyDescent="0.25">
      <c r="A643" s="6" t="s">
        <v>2314</v>
      </c>
      <c r="B643" s="6" t="s">
        <v>2315</v>
      </c>
      <c r="C643" s="6" t="s">
        <v>117</v>
      </c>
      <c r="F643" s="7" t="s">
        <v>2313</v>
      </c>
      <c r="G643" s="8">
        <v>120</v>
      </c>
      <c r="H643" s="21" t="s">
        <v>1898</v>
      </c>
      <c r="I643" s="9">
        <f t="shared" si="42"/>
        <v>22</v>
      </c>
      <c r="J643" s="9">
        <f t="shared" si="41"/>
        <v>4</v>
      </c>
      <c r="K643" s="10" t="str">
        <f t="shared" si="44"/>
        <v>S2R22B4</v>
      </c>
      <c r="L643" s="10" t="s">
        <v>1899</v>
      </c>
      <c r="M643" s="10">
        <f>IF(Table1[[#This Row],[ID ROW]]&lt;=12,Table1[[#This Row],[ID ROW]],Table1[[#This Row],[ID ROW]]+INT((Table1[[#This Row],[ID ROW]]-1)/12)*2)</f>
        <v>24</v>
      </c>
      <c r="N643" s="10" t="str">
        <f t="shared" si="43"/>
        <v>LSR24B4</v>
      </c>
      <c r="O643" s="10">
        <f>IF(Table1[[#This Row],[ID ROW]]&lt;=12,1,INT((Table1[[#This Row],[ID ROW]]-1)/12)+1)</f>
        <v>2</v>
      </c>
      <c r="P643" s="10">
        <f>Table1[[#This Row],[ID ROW]]-((Table1[[#This Row],[SECT]]-1)*12)</f>
        <v>10</v>
      </c>
    </row>
    <row r="644" spans="1:16" ht="15.75" customHeight="1" x14ac:dyDescent="0.3">
      <c r="A644" s="6" t="s">
        <v>2316</v>
      </c>
      <c r="B644" s="6" t="s">
        <v>2317</v>
      </c>
      <c r="F644" s="13" t="s">
        <v>2318</v>
      </c>
      <c r="G644" s="8">
        <v>121</v>
      </c>
      <c r="H644" s="21" t="s">
        <v>1898</v>
      </c>
      <c r="I644" s="9">
        <f t="shared" si="42"/>
        <v>22</v>
      </c>
      <c r="J644" s="9">
        <f t="shared" si="41"/>
        <v>5</v>
      </c>
      <c r="K644" s="10" t="str">
        <f t="shared" si="44"/>
        <v>S2R22B5</v>
      </c>
      <c r="L644" s="10" t="s">
        <v>1899</v>
      </c>
      <c r="M644" s="10">
        <f>IF(Table1[[#This Row],[ID ROW]]&lt;=12,Table1[[#This Row],[ID ROW]],Table1[[#This Row],[ID ROW]]+INT((Table1[[#This Row],[ID ROW]]-1)/12)*2)</f>
        <v>24</v>
      </c>
      <c r="N644" s="10" t="str">
        <f t="shared" si="43"/>
        <v>LSR24B5</v>
      </c>
      <c r="O644" s="10">
        <f>IF(Table1[[#This Row],[ID ROW]]&lt;=12,1,INT((Table1[[#This Row],[ID ROW]]-1)/12)+1)</f>
        <v>2</v>
      </c>
      <c r="P644" s="10">
        <f>Table1[[#This Row],[ID ROW]]-((Table1[[#This Row],[SECT]]-1)*12)</f>
        <v>10</v>
      </c>
    </row>
    <row r="645" spans="1:16" ht="15.75" customHeight="1" x14ac:dyDescent="0.25">
      <c r="A645" s="6" t="s">
        <v>2319</v>
      </c>
      <c r="B645" s="6" t="s">
        <v>2320</v>
      </c>
      <c r="C645" s="6" t="s">
        <v>105</v>
      </c>
      <c r="F645" s="7" t="s">
        <v>2321</v>
      </c>
      <c r="G645" s="8">
        <v>122</v>
      </c>
      <c r="H645" s="21" t="s">
        <v>1898</v>
      </c>
      <c r="I645" s="9">
        <f t="shared" si="42"/>
        <v>23</v>
      </c>
      <c r="J645" s="9">
        <f t="shared" si="41"/>
        <v>1</v>
      </c>
      <c r="K645" s="10" t="str">
        <f t="shared" si="44"/>
        <v>S2R23B1</v>
      </c>
      <c r="L645" s="10" t="s">
        <v>1899</v>
      </c>
      <c r="M645" s="10">
        <f>IF(Table1[[#This Row],[ID ROW]]&lt;=12,Table1[[#This Row],[ID ROW]],Table1[[#This Row],[ID ROW]]+INT((Table1[[#This Row],[ID ROW]]-1)/12)*2)</f>
        <v>25</v>
      </c>
      <c r="N645" s="10" t="str">
        <f t="shared" si="43"/>
        <v>LSR25B1</v>
      </c>
      <c r="O645" s="10">
        <f>IF(Table1[[#This Row],[ID ROW]]&lt;=12,1,INT((Table1[[#This Row],[ID ROW]]-1)/12)+1)</f>
        <v>2</v>
      </c>
      <c r="P645" s="10">
        <f>Table1[[#This Row],[ID ROW]]-((Table1[[#This Row],[SECT]]-1)*12)</f>
        <v>11</v>
      </c>
    </row>
    <row r="646" spans="1:16" ht="15.75" customHeight="1" x14ac:dyDescent="0.3">
      <c r="A646" s="6" t="s">
        <v>2322</v>
      </c>
      <c r="B646" s="6" t="s">
        <v>2323</v>
      </c>
      <c r="C646" s="6" t="s">
        <v>2324</v>
      </c>
      <c r="D646" s="6" t="s">
        <v>2325</v>
      </c>
      <c r="F646" s="13" t="s">
        <v>2326</v>
      </c>
      <c r="G646" s="8">
        <v>123</v>
      </c>
      <c r="H646" s="21" t="s">
        <v>1898</v>
      </c>
      <c r="I646" s="9">
        <f t="shared" si="42"/>
        <v>23</v>
      </c>
      <c r="J646" s="9">
        <f t="shared" si="41"/>
        <v>2</v>
      </c>
      <c r="K646" s="10" t="str">
        <f t="shared" si="44"/>
        <v>S2R23B2</v>
      </c>
      <c r="L646" s="10" t="s">
        <v>1899</v>
      </c>
      <c r="M646" s="10">
        <f>IF(Table1[[#This Row],[ID ROW]]&lt;=12,Table1[[#This Row],[ID ROW]],Table1[[#This Row],[ID ROW]]+INT((Table1[[#This Row],[ID ROW]]-1)/12)*2)</f>
        <v>25</v>
      </c>
      <c r="N646" s="10" t="str">
        <f t="shared" si="43"/>
        <v>LSR25B2</v>
      </c>
      <c r="O646" s="10">
        <f>IF(Table1[[#This Row],[ID ROW]]&lt;=12,1,INT((Table1[[#This Row],[ID ROW]]-1)/12)+1)</f>
        <v>2</v>
      </c>
      <c r="P646" s="10">
        <f>Table1[[#This Row],[ID ROW]]-((Table1[[#This Row],[SECT]]-1)*12)</f>
        <v>11</v>
      </c>
    </row>
    <row r="647" spans="1:16" ht="15.75" customHeight="1" x14ac:dyDescent="0.25">
      <c r="A647" s="6" t="s">
        <v>2327</v>
      </c>
      <c r="B647" s="6" t="s">
        <v>1597</v>
      </c>
      <c r="C647" s="6" t="s">
        <v>2317</v>
      </c>
      <c r="F647" s="7" t="s">
        <v>2328</v>
      </c>
      <c r="G647" s="8">
        <v>124</v>
      </c>
      <c r="H647" s="21" t="s">
        <v>1898</v>
      </c>
      <c r="I647" s="9">
        <f t="shared" si="42"/>
        <v>23</v>
      </c>
      <c r="J647" s="9">
        <f t="shared" si="41"/>
        <v>3</v>
      </c>
      <c r="K647" s="10" t="str">
        <f t="shared" si="44"/>
        <v>S2R23B3</v>
      </c>
      <c r="L647" s="10" t="s">
        <v>1899</v>
      </c>
      <c r="M647" s="10">
        <f>IF(Table1[[#This Row],[ID ROW]]&lt;=12,Table1[[#This Row],[ID ROW]],Table1[[#This Row],[ID ROW]]+INT((Table1[[#This Row],[ID ROW]]-1)/12)*2)</f>
        <v>25</v>
      </c>
      <c r="N647" s="10" t="str">
        <f t="shared" si="43"/>
        <v>LSR25B3</v>
      </c>
      <c r="O647" s="10">
        <f>IF(Table1[[#This Row],[ID ROW]]&lt;=12,1,INT((Table1[[#This Row],[ID ROW]]-1)/12)+1)</f>
        <v>2</v>
      </c>
      <c r="P647" s="10">
        <f>Table1[[#This Row],[ID ROW]]-((Table1[[#This Row],[SECT]]-1)*12)</f>
        <v>11</v>
      </c>
    </row>
    <row r="648" spans="1:16" ht="15.75" customHeight="1" x14ac:dyDescent="0.3">
      <c r="A648" s="16" t="s">
        <v>2329</v>
      </c>
      <c r="B648" s="16"/>
      <c r="C648" s="16" t="s">
        <v>2330</v>
      </c>
      <c r="F648" s="13" t="s">
        <v>2331</v>
      </c>
      <c r="G648" s="8">
        <v>125</v>
      </c>
      <c r="H648" s="21" t="s">
        <v>1898</v>
      </c>
      <c r="I648" s="9">
        <f t="shared" si="42"/>
        <v>23</v>
      </c>
      <c r="J648" s="9">
        <f t="shared" si="41"/>
        <v>4</v>
      </c>
      <c r="K648" s="10" t="str">
        <f t="shared" si="44"/>
        <v>S2R23B4</v>
      </c>
      <c r="L648" s="10" t="s">
        <v>1899</v>
      </c>
      <c r="M648" s="10">
        <f>IF(Table1[[#This Row],[ID ROW]]&lt;=12,Table1[[#This Row],[ID ROW]],Table1[[#This Row],[ID ROW]]+INT((Table1[[#This Row],[ID ROW]]-1)/12)*2)</f>
        <v>25</v>
      </c>
      <c r="N648" s="10" t="str">
        <f t="shared" si="43"/>
        <v>LSR25B4</v>
      </c>
      <c r="O648" s="10">
        <f>IF(Table1[[#This Row],[ID ROW]]&lt;=12,1,INT((Table1[[#This Row],[ID ROW]]-1)/12)+1)</f>
        <v>2</v>
      </c>
      <c r="P648" s="10">
        <f>Table1[[#This Row],[ID ROW]]-((Table1[[#This Row],[SECT]]-1)*12)</f>
        <v>11</v>
      </c>
    </row>
    <row r="649" spans="1:16" ht="15.75" customHeight="1" x14ac:dyDescent="0.25">
      <c r="A649" s="16" t="s">
        <v>2332</v>
      </c>
      <c r="B649" s="16" t="s">
        <v>2333</v>
      </c>
      <c r="C649" s="6" t="s">
        <v>67</v>
      </c>
      <c r="D649" s="6" t="s">
        <v>2334</v>
      </c>
      <c r="F649" s="7" t="s">
        <v>2335</v>
      </c>
      <c r="G649" s="8">
        <v>126</v>
      </c>
      <c r="H649" s="21" t="s">
        <v>1898</v>
      </c>
      <c r="I649" s="9">
        <f t="shared" si="42"/>
        <v>23</v>
      </c>
      <c r="J649" s="9">
        <f t="shared" si="41"/>
        <v>5</v>
      </c>
      <c r="K649" s="10" t="str">
        <f t="shared" si="44"/>
        <v>S2R23B5</v>
      </c>
      <c r="L649" s="10" t="s">
        <v>1899</v>
      </c>
      <c r="M649" s="10">
        <f>IF(Table1[[#This Row],[ID ROW]]&lt;=12,Table1[[#This Row],[ID ROW]],Table1[[#This Row],[ID ROW]]+INT((Table1[[#This Row],[ID ROW]]-1)/12)*2)</f>
        <v>25</v>
      </c>
      <c r="N649" s="10" t="str">
        <f t="shared" si="43"/>
        <v>LSR25B5</v>
      </c>
      <c r="O649" s="10">
        <f>IF(Table1[[#This Row],[ID ROW]]&lt;=12,1,INT((Table1[[#This Row],[ID ROW]]-1)/12)+1)</f>
        <v>2</v>
      </c>
      <c r="P649" s="10">
        <f>Table1[[#This Row],[ID ROW]]-((Table1[[#This Row],[SECT]]-1)*12)</f>
        <v>11</v>
      </c>
    </row>
    <row r="650" spans="1:16" ht="15.75" customHeight="1" x14ac:dyDescent="0.3">
      <c r="A650" s="6" t="s">
        <v>617</v>
      </c>
      <c r="B650" s="6" t="s">
        <v>234</v>
      </c>
      <c r="C650" s="6" t="s">
        <v>2336</v>
      </c>
      <c r="F650" s="13" t="s">
        <v>2337</v>
      </c>
      <c r="G650" s="8">
        <v>127</v>
      </c>
      <c r="H650" s="21" t="s">
        <v>1898</v>
      </c>
      <c r="I650" s="9">
        <f t="shared" si="42"/>
        <v>23</v>
      </c>
      <c r="J650" s="9">
        <f t="shared" si="41"/>
        <v>6</v>
      </c>
      <c r="K650" s="10" t="str">
        <f t="shared" si="44"/>
        <v>S2R23B6</v>
      </c>
      <c r="L650" s="10" t="s">
        <v>1899</v>
      </c>
      <c r="M650" s="10">
        <f>IF(Table1[[#This Row],[ID ROW]]&lt;=12,Table1[[#This Row],[ID ROW]],Table1[[#This Row],[ID ROW]]+INT((Table1[[#This Row],[ID ROW]]-1)/12)*2)</f>
        <v>25</v>
      </c>
      <c r="N650" s="10" t="str">
        <f t="shared" si="43"/>
        <v>LSR25B6</v>
      </c>
      <c r="O650" s="10">
        <f>IF(Table1[[#This Row],[ID ROW]]&lt;=12,1,INT((Table1[[#This Row],[ID ROW]]-1)/12)+1)</f>
        <v>2</v>
      </c>
      <c r="P650" s="10">
        <f>Table1[[#This Row],[ID ROW]]-((Table1[[#This Row],[SECT]]-1)*12)</f>
        <v>11</v>
      </c>
    </row>
    <row r="651" spans="1:16" ht="15.75" customHeight="1" x14ac:dyDescent="0.25">
      <c r="A651" s="16" t="s">
        <v>2338</v>
      </c>
      <c r="B651" s="16" t="s">
        <v>2339</v>
      </c>
      <c r="C651" s="16" t="s">
        <v>2340</v>
      </c>
      <c r="D651" s="6" t="s">
        <v>2341</v>
      </c>
      <c r="F651" s="7" t="s">
        <v>2342</v>
      </c>
      <c r="G651" s="8">
        <v>128</v>
      </c>
      <c r="H651" s="21" t="s">
        <v>1898</v>
      </c>
      <c r="I651" s="9">
        <f t="shared" si="42"/>
        <v>24</v>
      </c>
      <c r="J651" s="9">
        <f t="shared" si="41"/>
        <v>1</v>
      </c>
      <c r="K651" s="10" t="str">
        <f t="shared" si="44"/>
        <v>S2R24B1</v>
      </c>
      <c r="L651" s="10" t="s">
        <v>1899</v>
      </c>
      <c r="M651" s="10">
        <f>IF(Table1[[#This Row],[ID ROW]]&lt;=12,Table1[[#This Row],[ID ROW]],Table1[[#This Row],[ID ROW]]+INT((Table1[[#This Row],[ID ROW]]-1)/12)*2)</f>
        <v>26</v>
      </c>
      <c r="N651" s="10" t="str">
        <f t="shared" si="43"/>
        <v>LSR26B1</v>
      </c>
      <c r="O651" s="10">
        <f>IF(Table1[[#This Row],[ID ROW]]&lt;=12,1,INT((Table1[[#This Row],[ID ROW]]-1)/12)+1)</f>
        <v>2</v>
      </c>
      <c r="P651" s="10">
        <f>Table1[[#This Row],[ID ROW]]-((Table1[[#This Row],[SECT]]-1)*12)</f>
        <v>12</v>
      </c>
    </row>
    <row r="652" spans="1:16" ht="15.75" customHeight="1" x14ac:dyDescent="0.3">
      <c r="A652" s="16" t="s">
        <v>2343</v>
      </c>
      <c r="B652" s="16" t="s">
        <v>2344</v>
      </c>
      <c r="C652" s="16" t="s">
        <v>2345</v>
      </c>
      <c r="D652" s="6" t="s">
        <v>2346</v>
      </c>
      <c r="F652" s="13" t="s">
        <v>2347</v>
      </c>
      <c r="G652" s="8">
        <v>129</v>
      </c>
      <c r="H652" s="21" t="s">
        <v>1898</v>
      </c>
      <c r="I652" s="9">
        <f t="shared" si="42"/>
        <v>24</v>
      </c>
      <c r="J652" s="9">
        <f t="shared" si="41"/>
        <v>2</v>
      </c>
      <c r="K652" s="10" t="str">
        <f t="shared" si="44"/>
        <v>S2R24B2</v>
      </c>
      <c r="L652" s="10" t="s">
        <v>1899</v>
      </c>
      <c r="M652" s="10">
        <f>IF(Table1[[#This Row],[ID ROW]]&lt;=12,Table1[[#This Row],[ID ROW]],Table1[[#This Row],[ID ROW]]+INT((Table1[[#This Row],[ID ROW]]-1)/12)*2)</f>
        <v>26</v>
      </c>
      <c r="N652" s="10" t="str">
        <f t="shared" si="43"/>
        <v>LSR26B2</v>
      </c>
      <c r="O652" s="10">
        <f>IF(Table1[[#This Row],[ID ROW]]&lt;=12,1,INT((Table1[[#This Row],[ID ROW]]-1)/12)+1)</f>
        <v>2</v>
      </c>
      <c r="P652" s="10">
        <f>Table1[[#This Row],[ID ROW]]-((Table1[[#This Row],[SECT]]-1)*12)</f>
        <v>12</v>
      </c>
    </row>
    <row r="653" spans="1:16" ht="15.75" customHeight="1" x14ac:dyDescent="0.25">
      <c r="A653" s="16" t="s">
        <v>2348</v>
      </c>
      <c r="B653" s="16" t="s">
        <v>2349</v>
      </c>
      <c r="C653" s="16" t="s">
        <v>659</v>
      </c>
      <c r="D653" s="6" t="s">
        <v>2346</v>
      </c>
      <c r="F653" s="7" t="s">
        <v>2350</v>
      </c>
      <c r="G653" s="8">
        <v>130</v>
      </c>
      <c r="H653" s="21" t="s">
        <v>1898</v>
      </c>
      <c r="I653" s="9">
        <f t="shared" si="42"/>
        <v>24</v>
      </c>
      <c r="J653" s="9">
        <f t="shared" si="41"/>
        <v>3</v>
      </c>
      <c r="K653" s="10" t="str">
        <f t="shared" si="44"/>
        <v>S2R24B3</v>
      </c>
      <c r="L653" s="10" t="s">
        <v>1899</v>
      </c>
      <c r="M653" s="10">
        <f>IF(Table1[[#This Row],[ID ROW]]&lt;=12,Table1[[#This Row],[ID ROW]],Table1[[#This Row],[ID ROW]]+INT((Table1[[#This Row],[ID ROW]]-1)/12)*2)</f>
        <v>26</v>
      </c>
      <c r="N653" s="10" t="str">
        <f t="shared" si="43"/>
        <v>LSR26B3</v>
      </c>
      <c r="O653" s="10">
        <f>IF(Table1[[#This Row],[ID ROW]]&lt;=12,1,INT((Table1[[#This Row],[ID ROW]]-1)/12)+1)</f>
        <v>2</v>
      </c>
      <c r="P653" s="10">
        <f>Table1[[#This Row],[ID ROW]]-((Table1[[#This Row],[SECT]]-1)*12)</f>
        <v>12</v>
      </c>
    </row>
    <row r="654" spans="1:16" ht="15.75" customHeight="1" x14ac:dyDescent="0.3">
      <c r="A654" s="16" t="s">
        <v>2351</v>
      </c>
      <c r="B654" s="16" t="s">
        <v>234</v>
      </c>
      <c r="C654" s="16" t="s">
        <v>2352</v>
      </c>
      <c r="D654" s="6" t="s">
        <v>105</v>
      </c>
      <c r="F654" s="13" t="s">
        <v>2353</v>
      </c>
      <c r="G654" s="8">
        <v>131</v>
      </c>
      <c r="H654" s="21" t="s">
        <v>1898</v>
      </c>
      <c r="I654" s="9">
        <f t="shared" si="42"/>
        <v>24</v>
      </c>
      <c r="J654" s="9">
        <f t="shared" si="41"/>
        <v>4</v>
      </c>
      <c r="K654" s="10" t="str">
        <f t="shared" si="44"/>
        <v>S2R24B4</v>
      </c>
      <c r="L654" s="10" t="s">
        <v>1899</v>
      </c>
      <c r="M654" s="10">
        <f>IF(Table1[[#This Row],[ID ROW]]&lt;=12,Table1[[#This Row],[ID ROW]],Table1[[#This Row],[ID ROW]]+INT((Table1[[#This Row],[ID ROW]]-1)/12)*2)</f>
        <v>26</v>
      </c>
      <c r="N654" s="10" t="str">
        <f t="shared" si="43"/>
        <v>LSR26B4</v>
      </c>
      <c r="O654" s="10">
        <f>IF(Table1[[#This Row],[ID ROW]]&lt;=12,1,INT((Table1[[#This Row],[ID ROW]]-1)/12)+1)</f>
        <v>2</v>
      </c>
      <c r="P654" s="10">
        <f>Table1[[#This Row],[ID ROW]]-((Table1[[#This Row],[SECT]]-1)*12)</f>
        <v>12</v>
      </c>
    </row>
    <row r="655" spans="1:16" ht="15.75" customHeight="1" x14ac:dyDescent="0.25">
      <c r="A655" s="16" t="s">
        <v>2354</v>
      </c>
      <c r="B655" s="16" t="s">
        <v>2355</v>
      </c>
      <c r="C655" s="16" t="s">
        <v>2356</v>
      </c>
      <c r="D655" s="6" t="s">
        <v>2357</v>
      </c>
      <c r="F655" s="7" t="s">
        <v>2358</v>
      </c>
      <c r="G655" s="8">
        <v>132</v>
      </c>
      <c r="H655" s="21" t="s">
        <v>1898</v>
      </c>
      <c r="I655" s="9">
        <f t="shared" si="42"/>
        <v>24</v>
      </c>
      <c r="J655" s="9">
        <f t="shared" si="41"/>
        <v>5</v>
      </c>
      <c r="K655" s="10" t="str">
        <f t="shared" si="44"/>
        <v>S2R24B5</v>
      </c>
      <c r="L655" s="10" t="s">
        <v>1899</v>
      </c>
      <c r="M655" s="10">
        <f>IF(Table1[[#This Row],[ID ROW]]&lt;=12,Table1[[#This Row],[ID ROW]],Table1[[#This Row],[ID ROW]]+INT((Table1[[#This Row],[ID ROW]]-1)/12)*2)</f>
        <v>26</v>
      </c>
      <c r="N655" s="10" t="str">
        <f t="shared" si="43"/>
        <v>LSR26B5</v>
      </c>
      <c r="O655" s="10">
        <f>IF(Table1[[#This Row],[ID ROW]]&lt;=12,1,INT((Table1[[#This Row],[ID ROW]]-1)/12)+1)</f>
        <v>2</v>
      </c>
      <c r="P655" s="10">
        <f>Table1[[#This Row],[ID ROW]]-((Table1[[#This Row],[SECT]]-1)*12)</f>
        <v>12</v>
      </c>
    </row>
    <row r="656" spans="1:16" ht="15.75" customHeight="1" x14ac:dyDescent="0.3">
      <c r="A656" s="16" t="s">
        <v>143</v>
      </c>
      <c r="B656" s="16" t="s">
        <v>2359</v>
      </c>
      <c r="C656" s="16" t="s">
        <v>2360</v>
      </c>
      <c r="F656" s="13" t="s">
        <v>2361</v>
      </c>
      <c r="G656" s="8">
        <v>133</v>
      </c>
      <c r="H656" s="21" t="s">
        <v>1898</v>
      </c>
      <c r="I656" s="9">
        <f t="shared" si="42"/>
        <v>25</v>
      </c>
      <c r="J656" s="9">
        <f t="shared" si="41"/>
        <v>1</v>
      </c>
      <c r="K656" s="10" t="str">
        <f t="shared" si="44"/>
        <v>S2R25B1</v>
      </c>
      <c r="L656" s="10" t="s">
        <v>1899</v>
      </c>
      <c r="M656" s="10">
        <f>IF(Table1[[#This Row],[ID ROW]]&lt;=12,Table1[[#This Row],[ID ROW]],Table1[[#This Row],[ID ROW]]+INT((Table1[[#This Row],[ID ROW]]-1)/12)*2)</f>
        <v>29</v>
      </c>
      <c r="N656" s="10" t="str">
        <f t="shared" si="43"/>
        <v>LSR29B1</v>
      </c>
      <c r="O656" s="10">
        <f>IF(Table1[[#This Row],[ID ROW]]&lt;=12,1,INT((Table1[[#This Row],[ID ROW]]-1)/12)+1)</f>
        <v>3</v>
      </c>
      <c r="P656" s="10">
        <f>Table1[[#This Row],[ID ROW]]-((Table1[[#This Row],[SECT]]-1)*12)</f>
        <v>1</v>
      </c>
    </row>
    <row r="657" spans="1:16" ht="15.75" customHeight="1" x14ac:dyDescent="0.25">
      <c r="A657" s="16" t="s">
        <v>2362</v>
      </c>
      <c r="B657" s="16" t="s">
        <v>2363</v>
      </c>
      <c r="C657" s="6" t="s">
        <v>2364</v>
      </c>
      <c r="D657" s="6" t="s">
        <v>2357</v>
      </c>
      <c r="F657" s="7" t="s">
        <v>2365</v>
      </c>
      <c r="G657" s="8">
        <v>134</v>
      </c>
      <c r="H657" s="21" t="s">
        <v>1898</v>
      </c>
      <c r="I657" s="9">
        <f t="shared" si="42"/>
        <v>25</v>
      </c>
      <c r="J657" s="9">
        <f t="shared" si="41"/>
        <v>2</v>
      </c>
      <c r="K657" s="10" t="str">
        <f t="shared" si="44"/>
        <v>S2R25B2</v>
      </c>
      <c r="L657" s="10" t="s">
        <v>1899</v>
      </c>
      <c r="M657" s="10">
        <f>IF(Table1[[#This Row],[ID ROW]]&lt;=12,Table1[[#This Row],[ID ROW]],Table1[[#This Row],[ID ROW]]+INT((Table1[[#This Row],[ID ROW]]-1)/12)*2)</f>
        <v>29</v>
      </c>
      <c r="N657" s="10" t="str">
        <f t="shared" si="43"/>
        <v>LSR29B2</v>
      </c>
      <c r="O657" s="10">
        <f>IF(Table1[[#This Row],[ID ROW]]&lt;=12,1,INT((Table1[[#This Row],[ID ROW]]-1)/12)+1)</f>
        <v>3</v>
      </c>
      <c r="P657" s="10">
        <f>Table1[[#This Row],[ID ROW]]-((Table1[[#This Row],[SECT]]-1)*12)</f>
        <v>1</v>
      </c>
    </row>
    <row r="658" spans="1:16" ht="15.75" customHeight="1" x14ac:dyDescent="0.3">
      <c r="A658" s="16" t="s">
        <v>2366</v>
      </c>
      <c r="B658" s="6" t="s">
        <v>165</v>
      </c>
      <c r="C658" s="6" t="s">
        <v>2367</v>
      </c>
      <c r="D658" s="6" t="s">
        <v>2368</v>
      </c>
      <c r="F658" s="13" t="s">
        <v>2369</v>
      </c>
      <c r="G658" s="8">
        <v>135</v>
      </c>
      <c r="H658" s="21" t="s">
        <v>1898</v>
      </c>
      <c r="I658" s="9">
        <f t="shared" si="42"/>
        <v>25</v>
      </c>
      <c r="J658" s="9">
        <f t="shared" si="41"/>
        <v>3</v>
      </c>
      <c r="K658" s="10" t="str">
        <f t="shared" si="44"/>
        <v>S2R25B3</v>
      </c>
      <c r="L658" s="10" t="s">
        <v>1899</v>
      </c>
      <c r="M658" s="10">
        <f>IF(Table1[[#This Row],[ID ROW]]&lt;=12,Table1[[#This Row],[ID ROW]],Table1[[#This Row],[ID ROW]]+INT((Table1[[#This Row],[ID ROW]]-1)/12)*2)</f>
        <v>29</v>
      </c>
      <c r="N658" s="10" t="str">
        <f t="shared" si="43"/>
        <v>LSR29B3</v>
      </c>
      <c r="O658" s="10">
        <f>IF(Table1[[#This Row],[ID ROW]]&lt;=12,1,INT((Table1[[#This Row],[ID ROW]]-1)/12)+1)</f>
        <v>3</v>
      </c>
      <c r="P658" s="10">
        <f>Table1[[#This Row],[ID ROW]]-((Table1[[#This Row],[SECT]]-1)*12)</f>
        <v>1</v>
      </c>
    </row>
    <row r="659" spans="1:16" ht="15.75" customHeight="1" x14ac:dyDescent="0.25">
      <c r="A659" s="16" t="s">
        <v>745</v>
      </c>
      <c r="B659" s="16" t="s">
        <v>2370</v>
      </c>
      <c r="C659" s="16" t="s">
        <v>2371</v>
      </c>
      <c r="F659" s="7" t="s">
        <v>2372</v>
      </c>
      <c r="G659" s="8">
        <v>136</v>
      </c>
      <c r="H659" s="21" t="s">
        <v>1898</v>
      </c>
      <c r="I659" s="9">
        <f t="shared" si="42"/>
        <v>25</v>
      </c>
      <c r="J659" s="9">
        <f t="shared" si="41"/>
        <v>4</v>
      </c>
      <c r="K659" s="10" t="str">
        <f t="shared" si="44"/>
        <v>S2R25B4</v>
      </c>
      <c r="L659" s="10" t="s">
        <v>1899</v>
      </c>
      <c r="M659" s="10">
        <f>IF(Table1[[#This Row],[ID ROW]]&lt;=12,Table1[[#This Row],[ID ROW]],Table1[[#This Row],[ID ROW]]+INT((Table1[[#This Row],[ID ROW]]-1)/12)*2)</f>
        <v>29</v>
      </c>
      <c r="N659" s="10" t="str">
        <f t="shared" si="43"/>
        <v>LSR29B4</v>
      </c>
      <c r="O659" s="10">
        <f>IF(Table1[[#This Row],[ID ROW]]&lt;=12,1,INT((Table1[[#This Row],[ID ROW]]-1)/12)+1)</f>
        <v>3</v>
      </c>
      <c r="P659" s="10">
        <f>Table1[[#This Row],[ID ROW]]-((Table1[[#This Row],[SECT]]-1)*12)</f>
        <v>1</v>
      </c>
    </row>
    <row r="660" spans="1:16" ht="15.75" customHeight="1" x14ac:dyDescent="0.3">
      <c r="A660" s="6" t="s">
        <v>2373</v>
      </c>
      <c r="B660" s="16" t="s">
        <v>2374</v>
      </c>
      <c r="C660" s="6" t="s">
        <v>2375</v>
      </c>
      <c r="F660" s="13" t="s">
        <v>2376</v>
      </c>
      <c r="G660" s="8">
        <v>137</v>
      </c>
      <c r="H660" s="21" t="s">
        <v>1898</v>
      </c>
      <c r="I660" s="9">
        <f t="shared" si="42"/>
        <v>25</v>
      </c>
      <c r="J660" s="9">
        <f t="shared" si="41"/>
        <v>5</v>
      </c>
      <c r="K660" s="10" t="str">
        <f t="shared" si="44"/>
        <v>S2R25B5</v>
      </c>
      <c r="L660" s="10" t="s">
        <v>1899</v>
      </c>
      <c r="M660" s="10">
        <f>IF(Table1[[#This Row],[ID ROW]]&lt;=12,Table1[[#This Row],[ID ROW]],Table1[[#This Row],[ID ROW]]+INT((Table1[[#This Row],[ID ROW]]-1)/12)*2)</f>
        <v>29</v>
      </c>
      <c r="N660" s="10" t="str">
        <f t="shared" si="43"/>
        <v>LSR29B5</v>
      </c>
      <c r="O660" s="10">
        <f>IF(Table1[[#This Row],[ID ROW]]&lt;=12,1,INT((Table1[[#This Row],[ID ROW]]-1)/12)+1)</f>
        <v>3</v>
      </c>
      <c r="P660" s="10">
        <f>Table1[[#This Row],[ID ROW]]-((Table1[[#This Row],[SECT]]-1)*12)</f>
        <v>1</v>
      </c>
    </row>
    <row r="661" spans="1:16" ht="15.75" customHeight="1" x14ac:dyDescent="0.25">
      <c r="A661" s="6" t="s">
        <v>165</v>
      </c>
      <c r="B661" s="6" t="s">
        <v>2377</v>
      </c>
      <c r="C661" s="6" t="s">
        <v>2272</v>
      </c>
      <c r="F661" s="7" t="s">
        <v>2378</v>
      </c>
      <c r="G661" s="8">
        <v>138</v>
      </c>
      <c r="H661" s="21" t="s">
        <v>1898</v>
      </c>
      <c r="I661" s="9">
        <f t="shared" si="42"/>
        <v>25</v>
      </c>
      <c r="J661" s="9">
        <f t="shared" si="41"/>
        <v>6</v>
      </c>
      <c r="K661" s="10" t="str">
        <f t="shared" si="44"/>
        <v>S2R25B6</v>
      </c>
      <c r="L661" s="10" t="s">
        <v>1899</v>
      </c>
      <c r="M661" s="10">
        <f>IF(Table1[[#This Row],[ID ROW]]&lt;=12,Table1[[#This Row],[ID ROW]],Table1[[#This Row],[ID ROW]]+INT((Table1[[#This Row],[ID ROW]]-1)/12)*2)</f>
        <v>29</v>
      </c>
      <c r="N661" s="10" t="str">
        <f t="shared" si="43"/>
        <v>LSR29B6</v>
      </c>
      <c r="O661" s="10">
        <f>IF(Table1[[#This Row],[ID ROW]]&lt;=12,1,INT((Table1[[#This Row],[ID ROW]]-1)/12)+1)</f>
        <v>3</v>
      </c>
      <c r="P661" s="10">
        <f>Table1[[#This Row],[ID ROW]]-((Table1[[#This Row],[SECT]]-1)*12)</f>
        <v>1</v>
      </c>
    </row>
    <row r="662" spans="1:16" ht="15.75" customHeight="1" x14ac:dyDescent="0.3">
      <c r="A662" s="6" t="s">
        <v>2379</v>
      </c>
      <c r="B662" s="6" t="s">
        <v>2380</v>
      </c>
      <c r="F662" s="13" t="s">
        <v>2381</v>
      </c>
      <c r="G662" s="8">
        <v>139</v>
      </c>
      <c r="H662" s="21" t="s">
        <v>1898</v>
      </c>
      <c r="I662" s="9">
        <f t="shared" si="42"/>
        <v>26</v>
      </c>
      <c r="J662" s="9">
        <f t="shared" si="41"/>
        <v>1</v>
      </c>
      <c r="K662" s="10" t="str">
        <f t="shared" si="44"/>
        <v>S2R26B1</v>
      </c>
      <c r="L662" s="10" t="s">
        <v>1899</v>
      </c>
      <c r="M662" s="10">
        <f>IF(Table1[[#This Row],[ID ROW]]&lt;=12,Table1[[#This Row],[ID ROW]],Table1[[#This Row],[ID ROW]]+INT((Table1[[#This Row],[ID ROW]]-1)/12)*2)</f>
        <v>30</v>
      </c>
      <c r="N662" s="10" t="str">
        <f t="shared" si="43"/>
        <v>LSR30B1</v>
      </c>
      <c r="O662" s="10">
        <f>IF(Table1[[#This Row],[ID ROW]]&lt;=12,1,INT((Table1[[#This Row],[ID ROW]]-1)/12)+1)</f>
        <v>3</v>
      </c>
      <c r="P662" s="10">
        <f>Table1[[#This Row],[ID ROW]]-((Table1[[#This Row],[SECT]]-1)*12)</f>
        <v>2</v>
      </c>
    </row>
    <row r="663" spans="1:16" ht="15.75" customHeight="1" x14ac:dyDescent="0.25">
      <c r="A663" s="6" t="s">
        <v>2382</v>
      </c>
      <c r="B663" s="6" t="s">
        <v>2383</v>
      </c>
      <c r="C663" s="6" t="s">
        <v>870</v>
      </c>
      <c r="D663" s="6" t="s">
        <v>2384</v>
      </c>
      <c r="F663" s="7" t="s">
        <v>2381</v>
      </c>
      <c r="G663" s="8">
        <v>140</v>
      </c>
      <c r="H663" s="21" t="s">
        <v>1898</v>
      </c>
      <c r="I663" s="9">
        <f t="shared" si="42"/>
        <v>26</v>
      </c>
      <c r="J663" s="9">
        <f t="shared" si="41"/>
        <v>2</v>
      </c>
      <c r="K663" s="10" t="str">
        <f t="shared" si="44"/>
        <v>S2R26B2</v>
      </c>
      <c r="L663" s="10" t="s">
        <v>1899</v>
      </c>
      <c r="M663" s="10">
        <f>IF(Table1[[#This Row],[ID ROW]]&lt;=12,Table1[[#This Row],[ID ROW]],Table1[[#This Row],[ID ROW]]+INT((Table1[[#This Row],[ID ROW]]-1)/12)*2)</f>
        <v>30</v>
      </c>
      <c r="N663" s="10" t="str">
        <f t="shared" si="43"/>
        <v>LSR30B2</v>
      </c>
      <c r="O663" s="10">
        <f>IF(Table1[[#This Row],[ID ROW]]&lt;=12,1,INT((Table1[[#This Row],[ID ROW]]-1)/12)+1)</f>
        <v>3</v>
      </c>
      <c r="P663" s="10">
        <f>Table1[[#This Row],[ID ROW]]-((Table1[[#This Row],[SECT]]-1)*12)</f>
        <v>2</v>
      </c>
    </row>
    <row r="664" spans="1:16" ht="15.75" customHeight="1" x14ac:dyDescent="0.3">
      <c r="A664" s="6" t="s">
        <v>2385</v>
      </c>
      <c r="B664" s="6" t="s">
        <v>166</v>
      </c>
      <c r="C664" s="6" t="s">
        <v>2386</v>
      </c>
      <c r="F664" s="13" t="s">
        <v>2387</v>
      </c>
      <c r="G664" s="8">
        <v>141</v>
      </c>
      <c r="H664" s="21" t="s">
        <v>1898</v>
      </c>
      <c r="I664" s="9">
        <f t="shared" si="42"/>
        <v>26</v>
      </c>
      <c r="J664" s="9">
        <f t="shared" si="41"/>
        <v>3</v>
      </c>
      <c r="K664" s="10" t="str">
        <f t="shared" si="44"/>
        <v>S2R26B3</v>
      </c>
      <c r="L664" s="10" t="s">
        <v>1899</v>
      </c>
      <c r="M664" s="10">
        <f>IF(Table1[[#This Row],[ID ROW]]&lt;=12,Table1[[#This Row],[ID ROW]],Table1[[#This Row],[ID ROW]]+INT((Table1[[#This Row],[ID ROW]]-1)/12)*2)</f>
        <v>30</v>
      </c>
      <c r="N664" s="10" t="str">
        <f t="shared" si="43"/>
        <v>LSR30B3</v>
      </c>
      <c r="O664" s="10">
        <f>IF(Table1[[#This Row],[ID ROW]]&lt;=12,1,INT((Table1[[#This Row],[ID ROW]]-1)/12)+1)</f>
        <v>3</v>
      </c>
      <c r="P664" s="10">
        <f>Table1[[#This Row],[ID ROW]]-((Table1[[#This Row],[SECT]]-1)*12)</f>
        <v>2</v>
      </c>
    </row>
    <row r="665" spans="1:16" ht="15.75" customHeight="1" x14ac:dyDescent="0.25">
      <c r="A665" s="6" t="s">
        <v>2388</v>
      </c>
      <c r="B665" s="6" t="s">
        <v>213</v>
      </c>
      <c r="C665" s="6" t="s">
        <v>214</v>
      </c>
      <c r="F665" s="7" t="s">
        <v>2389</v>
      </c>
      <c r="G665" s="8">
        <v>142</v>
      </c>
      <c r="H665" s="21" t="s">
        <v>1898</v>
      </c>
      <c r="I665" s="9">
        <f t="shared" si="42"/>
        <v>26</v>
      </c>
      <c r="J665" s="9">
        <f t="shared" si="41"/>
        <v>4</v>
      </c>
      <c r="K665" s="10" t="str">
        <f t="shared" si="44"/>
        <v>S2R26B4</v>
      </c>
      <c r="L665" s="10" t="s">
        <v>1899</v>
      </c>
      <c r="M665" s="10">
        <f>IF(Table1[[#This Row],[ID ROW]]&lt;=12,Table1[[#This Row],[ID ROW]],Table1[[#This Row],[ID ROW]]+INT((Table1[[#This Row],[ID ROW]]-1)/12)*2)</f>
        <v>30</v>
      </c>
      <c r="N665" s="10" t="str">
        <f t="shared" si="43"/>
        <v>LSR30B4</v>
      </c>
      <c r="O665" s="10">
        <f>IF(Table1[[#This Row],[ID ROW]]&lt;=12,1,INT((Table1[[#This Row],[ID ROW]]-1)/12)+1)</f>
        <v>3</v>
      </c>
      <c r="P665" s="10">
        <f>Table1[[#This Row],[ID ROW]]-((Table1[[#This Row],[SECT]]-1)*12)</f>
        <v>2</v>
      </c>
    </row>
    <row r="666" spans="1:16" ht="15.75" customHeight="1" x14ac:dyDescent="0.3">
      <c r="A666" s="6" t="s">
        <v>2390</v>
      </c>
      <c r="C666" s="6" t="s">
        <v>2391</v>
      </c>
      <c r="D666" s="6" t="s">
        <v>2392</v>
      </c>
      <c r="F666" s="13" t="s">
        <v>2393</v>
      </c>
      <c r="G666" s="8">
        <v>143</v>
      </c>
      <c r="H666" s="21" t="s">
        <v>1898</v>
      </c>
      <c r="I666" s="9">
        <f t="shared" si="42"/>
        <v>26</v>
      </c>
      <c r="J666" s="9">
        <f t="shared" si="41"/>
        <v>5</v>
      </c>
      <c r="K666" s="10" t="str">
        <f t="shared" si="44"/>
        <v>S2R26B5</v>
      </c>
      <c r="L666" s="10" t="s">
        <v>1899</v>
      </c>
      <c r="M666" s="10">
        <f>IF(Table1[[#This Row],[ID ROW]]&lt;=12,Table1[[#This Row],[ID ROW]],Table1[[#This Row],[ID ROW]]+INT((Table1[[#This Row],[ID ROW]]-1)/12)*2)</f>
        <v>30</v>
      </c>
      <c r="N666" s="10" t="str">
        <f t="shared" si="43"/>
        <v>LSR30B5</v>
      </c>
      <c r="O666" s="10">
        <f>IF(Table1[[#This Row],[ID ROW]]&lt;=12,1,INT((Table1[[#This Row],[ID ROW]]-1)/12)+1)</f>
        <v>3</v>
      </c>
      <c r="P666" s="10">
        <f>Table1[[#This Row],[ID ROW]]-((Table1[[#This Row],[SECT]]-1)*12)</f>
        <v>2</v>
      </c>
    </row>
    <row r="667" spans="1:16" ht="15.75" customHeight="1" x14ac:dyDescent="0.25">
      <c r="A667" s="6" t="s">
        <v>2394</v>
      </c>
      <c r="B667" s="6" t="s">
        <v>2395</v>
      </c>
      <c r="C667" s="6" t="s">
        <v>2396</v>
      </c>
      <c r="F667" s="7" t="s">
        <v>2397</v>
      </c>
      <c r="G667" s="8">
        <v>144</v>
      </c>
      <c r="H667" s="21" t="s">
        <v>1898</v>
      </c>
      <c r="I667" s="9">
        <f t="shared" si="42"/>
        <v>27</v>
      </c>
      <c r="J667" s="9">
        <f t="shared" ref="J667:J730" si="45">IF(MOD(G667-1,11)&lt;6,(MOD(G667-1,11)+1-(5*FLOOR(MOD(G667-1,11),6))),(MOD(G667-1,11))-5)</f>
        <v>1</v>
      </c>
      <c r="K667" s="10" t="str">
        <f t="shared" si="44"/>
        <v>S2R27B1</v>
      </c>
      <c r="L667" s="10" t="s">
        <v>1899</v>
      </c>
      <c r="M667" s="10">
        <f>IF(Table1[[#This Row],[ID ROW]]&lt;=12,Table1[[#This Row],[ID ROW]],Table1[[#This Row],[ID ROW]]+INT((Table1[[#This Row],[ID ROW]]-1)/12)*2)</f>
        <v>31</v>
      </c>
      <c r="N667" s="10" t="str">
        <f t="shared" si="43"/>
        <v>LSR31B1</v>
      </c>
      <c r="O667" s="10">
        <f>IF(Table1[[#This Row],[ID ROW]]&lt;=12,1,INT((Table1[[#This Row],[ID ROW]]-1)/12)+1)</f>
        <v>3</v>
      </c>
      <c r="P667" s="10">
        <f>Table1[[#This Row],[ID ROW]]-((Table1[[#This Row],[SECT]]-1)*12)</f>
        <v>3</v>
      </c>
    </row>
    <row r="668" spans="1:16" ht="15.75" customHeight="1" x14ac:dyDescent="0.3">
      <c r="A668" s="6" t="s">
        <v>2398</v>
      </c>
      <c r="B668" s="6" t="s">
        <v>404</v>
      </c>
      <c r="C668" s="6" t="s">
        <v>2399</v>
      </c>
      <c r="F668" s="13" t="s">
        <v>2400</v>
      </c>
      <c r="G668" s="8">
        <v>145</v>
      </c>
      <c r="H668" s="21" t="s">
        <v>1898</v>
      </c>
      <c r="I668" s="9">
        <f t="shared" ref="I668:I731" si="46">INT((G668-1)/11)*2 + IF(MOD(G668-1, 11) &lt; 6, 1, 2)</f>
        <v>27</v>
      </c>
      <c r="J668" s="9">
        <f t="shared" si="45"/>
        <v>2</v>
      </c>
      <c r="K668" s="10" t="str">
        <f t="shared" si="44"/>
        <v>S2R27B2</v>
      </c>
      <c r="L668" s="10" t="s">
        <v>1899</v>
      </c>
      <c r="M668" s="10">
        <f>IF(Table1[[#This Row],[ID ROW]]&lt;=12,Table1[[#This Row],[ID ROW]],Table1[[#This Row],[ID ROW]]+INT((Table1[[#This Row],[ID ROW]]-1)/12)*2)</f>
        <v>31</v>
      </c>
      <c r="N668" s="10" t="str">
        <f t="shared" ref="N668:N731" si="47">L668&amp;"R"&amp;M668&amp;"B"&amp;J668</f>
        <v>LSR31B2</v>
      </c>
      <c r="O668" s="10">
        <f>IF(Table1[[#This Row],[ID ROW]]&lt;=12,1,INT((Table1[[#This Row],[ID ROW]]-1)/12)+1)</f>
        <v>3</v>
      </c>
      <c r="P668" s="10">
        <f>Table1[[#This Row],[ID ROW]]-((Table1[[#This Row],[SECT]]-1)*12)</f>
        <v>3</v>
      </c>
    </row>
    <row r="669" spans="1:16" ht="15.75" customHeight="1" x14ac:dyDescent="0.25">
      <c r="A669" s="6" t="s">
        <v>1144</v>
      </c>
      <c r="B669" s="6" t="s">
        <v>2401</v>
      </c>
      <c r="C669" s="6" t="s">
        <v>2402</v>
      </c>
      <c r="F669" s="7" t="s">
        <v>2403</v>
      </c>
      <c r="G669" s="8">
        <v>146</v>
      </c>
      <c r="H669" s="21" t="s">
        <v>1898</v>
      </c>
      <c r="I669" s="9">
        <f t="shared" si="46"/>
        <v>27</v>
      </c>
      <c r="J669" s="9">
        <f t="shared" si="45"/>
        <v>3</v>
      </c>
      <c r="K669" s="10" t="str">
        <f t="shared" si="44"/>
        <v>S2R27B3</v>
      </c>
      <c r="L669" s="10" t="s">
        <v>1899</v>
      </c>
      <c r="M669" s="10">
        <f>IF(Table1[[#This Row],[ID ROW]]&lt;=12,Table1[[#This Row],[ID ROW]],Table1[[#This Row],[ID ROW]]+INT((Table1[[#This Row],[ID ROW]]-1)/12)*2)</f>
        <v>31</v>
      </c>
      <c r="N669" s="10" t="str">
        <f t="shared" si="47"/>
        <v>LSR31B3</v>
      </c>
      <c r="O669" s="10">
        <f>IF(Table1[[#This Row],[ID ROW]]&lt;=12,1,INT((Table1[[#This Row],[ID ROW]]-1)/12)+1)</f>
        <v>3</v>
      </c>
      <c r="P669" s="10">
        <f>Table1[[#This Row],[ID ROW]]-((Table1[[#This Row],[SECT]]-1)*12)</f>
        <v>3</v>
      </c>
    </row>
    <row r="670" spans="1:16" ht="15.75" customHeight="1" x14ac:dyDescent="0.3">
      <c r="A670" s="6" t="s">
        <v>2404</v>
      </c>
      <c r="B670" s="6" t="s">
        <v>2405</v>
      </c>
      <c r="C670" s="6" t="s">
        <v>2406</v>
      </c>
      <c r="D670" s="6" t="s">
        <v>2407</v>
      </c>
      <c r="F670" s="13" t="s">
        <v>2408</v>
      </c>
      <c r="G670" s="8">
        <v>147</v>
      </c>
      <c r="H670" s="21" t="s">
        <v>1898</v>
      </c>
      <c r="I670" s="9">
        <f t="shared" si="46"/>
        <v>27</v>
      </c>
      <c r="J670" s="9">
        <f t="shared" si="45"/>
        <v>4</v>
      </c>
      <c r="K670" s="10" t="str">
        <f t="shared" si="44"/>
        <v>S2R27B4</v>
      </c>
      <c r="L670" s="10" t="s">
        <v>1899</v>
      </c>
      <c r="M670" s="10">
        <f>IF(Table1[[#This Row],[ID ROW]]&lt;=12,Table1[[#This Row],[ID ROW]],Table1[[#This Row],[ID ROW]]+INT((Table1[[#This Row],[ID ROW]]-1)/12)*2)</f>
        <v>31</v>
      </c>
      <c r="N670" s="10" t="str">
        <f t="shared" si="47"/>
        <v>LSR31B4</v>
      </c>
      <c r="O670" s="10">
        <f>IF(Table1[[#This Row],[ID ROW]]&lt;=12,1,INT((Table1[[#This Row],[ID ROW]]-1)/12)+1)</f>
        <v>3</v>
      </c>
      <c r="P670" s="10">
        <f>Table1[[#This Row],[ID ROW]]-((Table1[[#This Row],[SECT]]-1)*12)</f>
        <v>3</v>
      </c>
    </row>
    <row r="671" spans="1:16" ht="15.75" customHeight="1" x14ac:dyDescent="0.25">
      <c r="A671" s="6" t="s">
        <v>2409</v>
      </c>
      <c r="B671" s="6" t="s">
        <v>2410</v>
      </c>
      <c r="C671" s="23">
        <v>25723</v>
      </c>
      <c r="F671" s="7" t="s">
        <v>2411</v>
      </c>
      <c r="G671" s="8">
        <v>148</v>
      </c>
      <c r="H671" s="21" t="s">
        <v>1898</v>
      </c>
      <c r="I671" s="9">
        <f t="shared" si="46"/>
        <v>27</v>
      </c>
      <c r="J671" s="9">
        <f t="shared" si="45"/>
        <v>5</v>
      </c>
      <c r="K671" s="10" t="str">
        <f t="shared" si="44"/>
        <v>S2R27B5</v>
      </c>
      <c r="L671" s="10" t="s">
        <v>1899</v>
      </c>
      <c r="M671" s="10">
        <f>IF(Table1[[#This Row],[ID ROW]]&lt;=12,Table1[[#This Row],[ID ROW]],Table1[[#This Row],[ID ROW]]+INT((Table1[[#This Row],[ID ROW]]-1)/12)*2)</f>
        <v>31</v>
      </c>
      <c r="N671" s="10" t="str">
        <f t="shared" si="47"/>
        <v>LSR31B5</v>
      </c>
      <c r="O671" s="10">
        <f>IF(Table1[[#This Row],[ID ROW]]&lt;=12,1,INT((Table1[[#This Row],[ID ROW]]-1)/12)+1)</f>
        <v>3</v>
      </c>
      <c r="P671" s="10">
        <f>Table1[[#This Row],[ID ROW]]-((Table1[[#This Row],[SECT]]-1)*12)</f>
        <v>3</v>
      </c>
    </row>
    <row r="672" spans="1:16" ht="15.75" customHeight="1" x14ac:dyDescent="0.3">
      <c r="A672" s="6" t="s">
        <v>2412</v>
      </c>
      <c r="B672" s="6" t="s">
        <v>2413</v>
      </c>
      <c r="C672" s="23">
        <v>25614</v>
      </c>
      <c r="F672" s="13" t="s">
        <v>2411</v>
      </c>
      <c r="G672" s="8">
        <v>149</v>
      </c>
      <c r="H672" s="21" t="s">
        <v>1898</v>
      </c>
      <c r="I672" s="9">
        <f t="shared" si="46"/>
        <v>27</v>
      </c>
      <c r="J672" s="9">
        <f t="shared" si="45"/>
        <v>6</v>
      </c>
      <c r="K672" s="10" t="str">
        <f t="shared" si="44"/>
        <v>S2R27B6</v>
      </c>
      <c r="L672" s="10" t="s">
        <v>1899</v>
      </c>
      <c r="M672" s="10">
        <f>IF(Table1[[#This Row],[ID ROW]]&lt;=12,Table1[[#This Row],[ID ROW]],Table1[[#This Row],[ID ROW]]+INT((Table1[[#This Row],[ID ROW]]-1)/12)*2)</f>
        <v>31</v>
      </c>
      <c r="N672" s="10" t="str">
        <f t="shared" si="47"/>
        <v>LSR31B6</v>
      </c>
      <c r="O672" s="10">
        <f>IF(Table1[[#This Row],[ID ROW]]&lt;=12,1,INT((Table1[[#This Row],[ID ROW]]-1)/12)+1)</f>
        <v>3</v>
      </c>
      <c r="P672" s="10">
        <f>Table1[[#This Row],[ID ROW]]-((Table1[[#This Row],[SECT]]-1)*12)</f>
        <v>3</v>
      </c>
    </row>
    <row r="673" spans="1:16" ht="15.75" customHeight="1" x14ac:dyDescent="0.25">
      <c r="A673" s="6" t="s">
        <v>2414</v>
      </c>
      <c r="B673" s="6" t="s">
        <v>2415</v>
      </c>
      <c r="C673" s="6" t="s">
        <v>2416</v>
      </c>
      <c r="F673" s="7" t="s">
        <v>2417</v>
      </c>
      <c r="G673" s="8">
        <v>150</v>
      </c>
      <c r="H673" s="21" t="s">
        <v>1898</v>
      </c>
      <c r="I673" s="9">
        <f t="shared" si="46"/>
        <v>28</v>
      </c>
      <c r="J673" s="9">
        <f t="shared" si="45"/>
        <v>1</v>
      </c>
      <c r="K673" s="10" t="str">
        <f t="shared" si="44"/>
        <v>S2R28B1</v>
      </c>
      <c r="L673" s="10" t="s">
        <v>1899</v>
      </c>
      <c r="M673" s="10">
        <f>IF(Table1[[#This Row],[ID ROW]]&lt;=12,Table1[[#This Row],[ID ROW]],Table1[[#This Row],[ID ROW]]+INT((Table1[[#This Row],[ID ROW]]-1)/12)*2)</f>
        <v>32</v>
      </c>
      <c r="N673" s="10" t="str">
        <f t="shared" si="47"/>
        <v>LSR32B1</v>
      </c>
      <c r="O673" s="10">
        <f>IF(Table1[[#This Row],[ID ROW]]&lt;=12,1,INT((Table1[[#This Row],[ID ROW]]-1)/12)+1)</f>
        <v>3</v>
      </c>
      <c r="P673" s="10">
        <f>Table1[[#This Row],[ID ROW]]-((Table1[[#This Row],[SECT]]-1)*12)</f>
        <v>4</v>
      </c>
    </row>
    <row r="674" spans="1:16" ht="15.75" customHeight="1" x14ac:dyDescent="0.3">
      <c r="A674" s="6" t="s">
        <v>150</v>
      </c>
      <c r="B674" s="6" t="s">
        <v>2418</v>
      </c>
      <c r="D674" s="6" t="s">
        <v>2419</v>
      </c>
      <c r="F674" s="13" t="s">
        <v>2420</v>
      </c>
      <c r="G674" s="8">
        <v>151</v>
      </c>
      <c r="H674" s="21" t="s">
        <v>1898</v>
      </c>
      <c r="I674" s="9">
        <f t="shared" si="46"/>
        <v>28</v>
      </c>
      <c r="J674" s="9">
        <f t="shared" si="45"/>
        <v>2</v>
      </c>
      <c r="K674" s="10" t="str">
        <f t="shared" si="44"/>
        <v>S2R28B2</v>
      </c>
      <c r="L674" s="10" t="s">
        <v>1899</v>
      </c>
      <c r="M674" s="10">
        <f>IF(Table1[[#This Row],[ID ROW]]&lt;=12,Table1[[#This Row],[ID ROW]],Table1[[#This Row],[ID ROW]]+INT((Table1[[#This Row],[ID ROW]]-1)/12)*2)</f>
        <v>32</v>
      </c>
      <c r="N674" s="10" t="str">
        <f t="shared" si="47"/>
        <v>LSR32B2</v>
      </c>
      <c r="O674" s="10">
        <f>IF(Table1[[#This Row],[ID ROW]]&lt;=12,1,INT((Table1[[#This Row],[ID ROW]]-1)/12)+1)</f>
        <v>3</v>
      </c>
      <c r="P674" s="10">
        <f>Table1[[#This Row],[ID ROW]]-((Table1[[#This Row],[SECT]]-1)*12)</f>
        <v>4</v>
      </c>
    </row>
    <row r="675" spans="1:16" ht="15.75" customHeight="1" x14ac:dyDescent="0.25">
      <c r="A675" s="6" t="s">
        <v>2421</v>
      </c>
      <c r="B675" s="6" t="s">
        <v>2422</v>
      </c>
      <c r="C675" s="24">
        <v>16555</v>
      </c>
      <c r="D675" s="6" t="s">
        <v>2423</v>
      </c>
      <c r="F675" s="7" t="s">
        <v>2424</v>
      </c>
      <c r="G675" s="8">
        <v>152</v>
      </c>
      <c r="H675" s="21" t="s">
        <v>1898</v>
      </c>
      <c r="I675" s="9">
        <f t="shared" si="46"/>
        <v>28</v>
      </c>
      <c r="J675" s="9">
        <f t="shared" si="45"/>
        <v>3</v>
      </c>
      <c r="K675" s="10" t="str">
        <f t="shared" si="44"/>
        <v>S2R28B3</v>
      </c>
      <c r="L675" s="10" t="s">
        <v>1899</v>
      </c>
      <c r="M675" s="10">
        <f>IF(Table1[[#This Row],[ID ROW]]&lt;=12,Table1[[#This Row],[ID ROW]],Table1[[#This Row],[ID ROW]]+INT((Table1[[#This Row],[ID ROW]]-1)/12)*2)</f>
        <v>32</v>
      </c>
      <c r="N675" s="10" t="str">
        <f t="shared" si="47"/>
        <v>LSR32B3</v>
      </c>
      <c r="O675" s="10">
        <f>IF(Table1[[#This Row],[ID ROW]]&lt;=12,1,INT((Table1[[#This Row],[ID ROW]]-1)/12)+1)</f>
        <v>3</v>
      </c>
      <c r="P675" s="10">
        <f>Table1[[#This Row],[ID ROW]]-((Table1[[#This Row],[SECT]]-1)*12)</f>
        <v>4</v>
      </c>
    </row>
    <row r="676" spans="1:16" ht="15.75" customHeight="1" x14ac:dyDescent="0.3">
      <c r="A676" s="6" t="s">
        <v>2425</v>
      </c>
      <c r="B676" s="6" t="s">
        <v>2426</v>
      </c>
      <c r="C676" s="6" t="s">
        <v>2427</v>
      </c>
      <c r="D676" s="6" t="s">
        <v>81</v>
      </c>
      <c r="F676" s="13" t="s">
        <v>2428</v>
      </c>
      <c r="G676" s="8">
        <v>153</v>
      </c>
      <c r="H676" s="21" t="s">
        <v>1898</v>
      </c>
      <c r="I676" s="9">
        <f t="shared" si="46"/>
        <v>28</v>
      </c>
      <c r="J676" s="9">
        <f t="shared" si="45"/>
        <v>4</v>
      </c>
      <c r="K676" s="10" t="str">
        <f t="shared" si="44"/>
        <v>S2R28B4</v>
      </c>
      <c r="L676" s="10" t="s">
        <v>1899</v>
      </c>
      <c r="M676" s="10">
        <f>IF(Table1[[#This Row],[ID ROW]]&lt;=12,Table1[[#This Row],[ID ROW]],Table1[[#This Row],[ID ROW]]+INT((Table1[[#This Row],[ID ROW]]-1)/12)*2)</f>
        <v>32</v>
      </c>
      <c r="N676" s="10" t="str">
        <f t="shared" si="47"/>
        <v>LSR32B4</v>
      </c>
      <c r="O676" s="10">
        <f>IF(Table1[[#This Row],[ID ROW]]&lt;=12,1,INT((Table1[[#This Row],[ID ROW]]-1)/12)+1)</f>
        <v>3</v>
      </c>
      <c r="P676" s="10">
        <f>Table1[[#This Row],[ID ROW]]-((Table1[[#This Row],[SECT]]-1)*12)</f>
        <v>4</v>
      </c>
    </row>
    <row r="677" spans="1:16" ht="15.75" customHeight="1" x14ac:dyDescent="0.25">
      <c r="A677" s="6" t="s">
        <v>2429</v>
      </c>
      <c r="B677" s="6" t="s">
        <v>2430</v>
      </c>
      <c r="C677" s="6" t="s">
        <v>2431</v>
      </c>
      <c r="F677" s="7" t="s">
        <v>2432</v>
      </c>
      <c r="G677" s="8">
        <v>154</v>
      </c>
      <c r="H677" s="21" t="s">
        <v>1898</v>
      </c>
      <c r="I677" s="9">
        <f t="shared" si="46"/>
        <v>28</v>
      </c>
      <c r="J677" s="9">
        <f t="shared" si="45"/>
        <v>5</v>
      </c>
      <c r="K677" s="10" t="str">
        <f t="shared" si="44"/>
        <v>S2R28B5</v>
      </c>
      <c r="L677" s="10" t="s">
        <v>1899</v>
      </c>
      <c r="M677" s="10">
        <f>IF(Table1[[#This Row],[ID ROW]]&lt;=12,Table1[[#This Row],[ID ROW]],Table1[[#This Row],[ID ROW]]+INT((Table1[[#This Row],[ID ROW]]-1)/12)*2)</f>
        <v>32</v>
      </c>
      <c r="N677" s="10" t="str">
        <f t="shared" si="47"/>
        <v>LSR32B5</v>
      </c>
      <c r="O677" s="10">
        <f>IF(Table1[[#This Row],[ID ROW]]&lt;=12,1,INT((Table1[[#This Row],[ID ROW]]-1)/12)+1)</f>
        <v>3</v>
      </c>
      <c r="P677" s="10">
        <f>Table1[[#This Row],[ID ROW]]-((Table1[[#This Row],[SECT]]-1)*12)</f>
        <v>4</v>
      </c>
    </row>
    <row r="678" spans="1:16" ht="15.75" customHeight="1" x14ac:dyDescent="0.3">
      <c r="A678" s="6" t="s">
        <v>2433</v>
      </c>
      <c r="B678" s="6" t="s">
        <v>1955</v>
      </c>
      <c r="C678" s="6" t="s">
        <v>616</v>
      </c>
      <c r="F678" s="13" t="s">
        <v>2434</v>
      </c>
      <c r="G678" s="8">
        <v>155</v>
      </c>
      <c r="H678" s="21" t="s">
        <v>1898</v>
      </c>
      <c r="I678" s="9">
        <f t="shared" si="46"/>
        <v>29</v>
      </c>
      <c r="J678" s="9">
        <f t="shared" si="45"/>
        <v>1</v>
      </c>
      <c r="K678" s="10" t="str">
        <f t="shared" si="44"/>
        <v>S2R29B1</v>
      </c>
      <c r="L678" s="10" t="s">
        <v>1899</v>
      </c>
      <c r="M678" s="10">
        <f>IF(Table1[[#This Row],[ID ROW]]&lt;=12,Table1[[#This Row],[ID ROW]],Table1[[#This Row],[ID ROW]]+INT((Table1[[#This Row],[ID ROW]]-1)/12)*2)</f>
        <v>33</v>
      </c>
      <c r="N678" s="10" t="str">
        <f t="shared" si="47"/>
        <v>LSR33B1</v>
      </c>
      <c r="O678" s="10">
        <f>IF(Table1[[#This Row],[ID ROW]]&lt;=12,1,INT((Table1[[#This Row],[ID ROW]]-1)/12)+1)</f>
        <v>3</v>
      </c>
      <c r="P678" s="10">
        <f>Table1[[#This Row],[ID ROW]]-((Table1[[#This Row],[SECT]]-1)*12)</f>
        <v>5</v>
      </c>
    </row>
    <row r="679" spans="1:16" ht="15.75" customHeight="1" x14ac:dyDescent="0.25">
      <c r="A679" s="6" t="s">
        <v>2435</v>
      </c>
      <c r="B679" s="6" t="s">
        <v>2436</v>
      </c>
      <c r="C679" s="6" t="s">
        <v>2437</v>
      </c>
      <c r="F679" s="7" t="s">
        <v>2438</v>
      </c>
      <c r="G679" s="8">
        <v>156</v>
      </c>
      <c r="H679" s="21" t="s">
        <v>1898</v>
      </c>
      <c r="I679" s="9">
        <f t="shared" si="46"/>
        <v>29</v>
      </c>
      <c r="J679" s="9">
        <f t="shared" si="45"/>
        <v>2</v>
      </c>
      <c r="K679" s="10" t="str">
        <f t="shared" si="44"/>
        <v>S2R29B2</v>
      </c>
      <c r="L679" s="10" t="s">
        <v>1899</v>
      </c>
      <c r="M679" s="10">
        <f>IF(Table1[[#This Row],[ID ROW]]&lt;=12,Table1[[#This Row],[ID ROW]],Table1[[#This Row],[ID ROW]]+INT((Table1[[#This Row],[ID ROW]]-1)/12)*2)</f>
        <v>33</v>
      </c>
      <c r="N679" s="10" t="str">
        <f t="shared" si="47"/>
        <v>LSR33B2</v>
      </c>
      <c r="O679" s="10">
        <f>IF(Table1[[#This Row],[ID ROW]]&lt;=12,1,INT((Table1[[#This Row],[ID ROW]]-1)/12)+1)</f>
        <v>3</v>
      </c>
      <c r="P679" s="10">
        <f>Table1[[#This Row],[ID ROW]]-((Table1[[#This Row],[SECT]]-1)*12)</f>
        <v>5</v>
      </c>
    </row>
    <row r="680" spans="1:16" ht="15.75" customHeight="1" x14ac:dyDescent="0.3">
      <c r="A680" s="6" t="s">
        <v>2439</v>
      </c>
      <c r="B680" s="6" t="s">
        <v>2440</v>
      </c>
      <c r="C680" s="6" t="s">
        <v>2441</v>
      </c>
      <c r="F680" s="13" t="s">
        <v>2442</v>
      </c>
      <c r="G680" s="8">
        <v>157</v>
      </c>
      <c r="H680" s="21" t="s">
        <v>1898</v>
      </c>
      <c r="I680" s="9">
        <f t="shared" si="46"/>
        <v>29</v>
      </c>
      <c r="J680" s="9">
        <f t="shared" si="45"/>
        <v>3</v>
      </c>
      <c r="K680" s="10" t="str">
        <f t="shared" si="44"/>
        <v>S2R29B3</v>
      </c>
      <c r="L680" s="10" t="s">
        <v>1899</v>
      </c>
      <c r="M680" s="10">
        <f>IF(Table1[[#This Row],[ID ROW]]&lt;=12,Table1[[#This Row],[ID ROW]],Table1[[#This Row],[ID ROW]]+INT((Table1[[#This Row],[ID ROW]]-1)/12)*2)</f>
        <v>33</v>
      </c>
      <c r="N680" s="10" t="str">
        <f t="shared" si="47"/>
        <v>LSR33B3</v>
      </c>
      <c r="O680" s="10">
        <f>IF(Table1[[#This Row],[ID ROW]]&lt;=12,1,INT((Table1[[#This Row],[ID ROW]]-1)/12)+1)</f>
        <v>3</v>
      </c>
      <c r="P680" s="10">
        <f>Table1[[#This Row],[ID ROW]]-((Table1[[#This Row],[SECT]]-1)*12)</f>
        <v>5</v>
      </c>
    </row>
    <row r="681" spans="1:16" ht="15.75" customHeight="1" x14ac:dyDescent="0.25">
      <c r="A681" s="6" t="s">
        <v>2443</v>
      </c>
      <c r="B681" s="6" t="s">
        <v>2444</v>
      </c>
      <c r="C681" s="6">
        <v>2002</v>
      </c>
      <c r="F681" s="7" t="s">
        <v>2445</v>
      </c>
      <c r="G681" s="8">
        <v>158</v>
      </c>
      <c r="H681" s="21" t="s">
        <v>1898</v>
      </c>
      <c r="I681" s="9">
        <f t="shared" si="46"/>
        <v>29</v>
      </c>
      <c r="J681" s="9">
        <f t="shared" si="45"/>
        <v>4</v>
      </c>
      <c r="K681" s="10" t="str">
        <f t="shared" si="44"/>
        <v>S2R29B4</v>
      </c>
      <c r="L681" s="10" t="s">
        <v>1899</v>
      </c>
      <c r="M681" s="10">
        <f>IF(Table1[[#This Row],[ID ROW]]&lt;=12,Table1[[#This Row],[ID ROW]],Table1[[#This Row],[ID ROW]]+INT((Table1[[#This Row],[ID ROW]]-1)/12)*2)</f>
        <v>33</v>
      </c>
      <c r="N681" s="10" t="str">
        <f t="shared" si="47"/>
        <v>LSR33B4</v>
      </c>
      <c r="O681" s="10">
        <f>IF(Table1[[#This Row],[ID ROW]]&lt;=12,1,INT((Table1[[#This Row],[ID ROW]]-1)/12)+1)</f>
        <v>3</v>
      </c>
      <c r="P681" s="10">
        <f>Table1[[#This Row],[ID ROW]]-((Table1[[#This Row],[SECT]]-1)*12)</f>
        <v>5</v>
      </c>
    </row>
    <row r="682" spans="1:16" ht="15.75" customHeight="1" x14ac:dyDescent="0.3">
      <c r="A682" s="6" t="s">
        <v>2446</v>
      </c>
      <c r="B682" s="6" t="s">
        <v>150</v>
      </c>
      <c r="F682" s="13" t="s">
        <v>2447</v>
      </c>
      <c r="G682" s="8">
        <v>159</v>
      </c>
      <c r="H682" s="21" t="s">
        <v>1898</v>
      </c>
      <c r="I682" s="9">
        <f t="shared" si="46"/>
        <v>29</v>
      </c>
      <c r="J682" s="9">
        <f t="shared" si="45"/>
        <v>5</v>
      </c>
      <c r="K682" s="10" t="str">
        <f t="shared" si="44"/>
        <v>S2R29B5</v>
      </c>
      <c r="L682" s="10" t="s">
        <v>1899</v>
      </c>
      <c r="M682" s="10">
        <f>IF(Table1[[#This Row],[ID ROW]]&lt;=12,Table1[[#This Row],[ID ROW]],Table1[[#This Row],[ID ROW]]+INT((Table1[[#This Row],[ID ROW]]-1)/12)*2)</f>
        <v>33</v>
      </c>
      <c r="N682" s="10" t="str">
        <f t="shared" si="47"/>
        <v>LSR33B5</v>
      </c>
      <c r="O682" s="10">
        <f>IF(Table1[[#This Row],[ID ROW]]&lt;=12,1,INT((Table1[[#This Row],[ID ROW]]-1)/12)+1)</f>
        <v>3</v>
      </c>
      <c r="P682" s="10">
        <f>Table1[[#This Row],[ID ROW]]-((Table1[[#This Row],[SECT]]-1)*12)</f>
        <v>5</v>
      </c>
    </row>
    <row r="683" spans="1:16" ht="15.75" customHeight="1" x14ac:dyDescent="0.25">
      <c r="A683" s="6" t="s">
        <v>2448</v>
      </c>
      <c r="B683" s="6" t="s">
        <v>2449</v>
      </c>
      <c r="C683" s="6" t="s">
        <v>2450</v>
      </c>
      <c r="D683" s="6" t="s">
        <v>2451</v>
      </c>
      <c r="F683" s="7" t="s">
        <v>2452</v>
      </c>
      <c r="G683" s="8">
        <v>160</v>
      </c>
      <c r="H683" s="21" t="s">
        <v>1898</v>
      </c>
      <c r="I683" s="9">
        <f t="shared" si="46"/>
        <v>29</v>
      </c>
      <c r="J683" s="9">
        <f t="shared" si="45"/>
        <v>6</v>
      </c>
      <c r="K683" s="10" t="str">
        <f t="shared" si="44"/>
        <v>S2R29B6</v>
      </c>
      <c r="L683" s="10" t="s">
        <v>1899</v>
      </c>
      <c r="M683" s="10">
        <f>IF(Table1[[#This Row],[ID ROW]]&lt;=12,Table1[[#This Row],[ID ROW]],Table1[[#This Row],[ID ROW]]+INT((Table1[[#This Row],[ID ROW]]-1)/12)*2)</f>
        <v>33</v>
      </c>
      <c r="N683" s="10" t="str">
        <f t="shared" si="47"/>
        <v>LSR33B6</v>
      </c>
      <c r="O683" s="10">
        <f>IF(Table1[[#This Row],[ID ROW]]&lt;=12,1,INT((Table1[[#This Row],[ID ROW]]-1)/12)+1)</f>
        <v>3</v>
      </c>
      <c r="P683" s="10">
        <f>Table1[[#This Row],[ID ROW]]-((Table1[[#This Row],[SECT]]-1)*12)</f>
        <v>5</v>
      </c>
    </row>
    <row r="684" spans="1:16" ht="15.75" customHeight="1" x14ac:dyDescent="0.3">
      <c r="A684" s="6" t="s">
        <v>2453</v>
      </c>
      <c r="B684" s="6" t="s">
        <v>2454</v>
      </c>
      <c r="C684" s="6" t="s">
        <v>2455</v>
      </c>
      <c r="D684" s="6" t="s">
        <v>2456</v>
      </c>
      <c r="F684" s="13" t="s">
        <v>2457</v>
      </c>
      <c r="G684" s="8">
        <v>161</v>
      </c>
      <c r="H684" s="21" t="s">
        <v>1898</v>
      </c>
      <c r="I684" s="9">
        <f t="shared" si="46"/>
        <v>30</v>
      </c>
      <c r="J684" s="9">
        <f t="shared" si="45"/>
        <v>1</v>
      </c>
      <c r="K684" s="10" t="str">
        <f t="shared" si="44"/>
        <v>S2R30B1</v>
      </c>
      <c r="L684" s="10" t="s">
        <v>1899</v>
      </c>
      <c r="M684" s="10">
        <f>IF(Table1[[#This Row],[ID ROW]]&lt;=12,Table1[[#This Row],[ID ROW]],Table1[[#This Row],[ID ROW]]+INT((Table1[[#This Row],[ID ROW]]-1)/12)*2)</f>
        <v>34</v>
      </c>
      <c r="N684" s="10" t="str">
        <f t="shared" si="47"/>
        <v>LSR34B1</v>
      </c>
      <c r="O684" s="10">
        <f>IF(Table1[[#This Row],[ID ROW]]&lt;=12,1,INT((Table1[[#This Row],[ID ROW]]-1)/12)+1)</f>
        <v>3</v>
      </c>
      <c r="P684" s="10">
        <f>Table1[[#This Row],[ID ROW]]-((Table1[[#This Row],[SECT]]-1)*12)</f>
        <v>6</v>
      </c>
    </row>
    <row r="685" spans="1:16" ht="15.75" customHeight="1" x14ac:dyDescent="0.25">
      <c r="A685" s="6" t="s">
        <v>2458</v>
      </c>
      <c r="B685" s="6" t="s">
        <v>2459</v>
      </c>
      <c r="C685" s="6" t="s">
        <v>2455</v>
      </c>
      <c r="D685" s="6" t="s">
        <v>2460</v>
      </c>
      <c r="F685" s="7" t="s">
        <v>2461</v>
      </c>
      <c r="G685" s="8">
        <v>162</v>
      </c>
      <c r="H685" s="21" t="s">
        <v>1898</v>
      </c>
      <c r="I685" s="9">
        <f t="shared" si="46"/>
        <v>30</v>
      </c>
      <c r="J685" s="9">
        <f t="shared" si="45"/>
        <v>2</v>
      </c>
      <c r="K685" s="10" t="str">
        <f t="shared" si="44"/>
        <v>S2R30B2</v>
      </c>
      <c r="L685" s="10" t="s">
        <v>1899</v>
      </c>
      <c r="M685" s="10">
        <f>IF(Table1[[#This Row],[ID ROW]]&lt;=12,Table1[[#This Row],[ID ROW]],Table1[[#This Row],[ID ROW]]+INT((Table1[[#This Row],[ID ROW]]-1)/12)*2)</f>
        <v>34</v>
      </c>
      <c r="N685" s="10" t="str">
        <f t="shared" si="47"/>
        <v>LSR34B2</v>
      </c>
      <c r="O685" s="10">
        <f>IF(Table1[[#This Row],[ID ROW]]&lt;=12,1,INT((Table1[[#This Row],[ID ROW]]-1)/12)+1)</f>
        <v>3</v>
      </c>
      <c r="P685" s="10">
        <f>Table1[[#This Row],[ID ROW]]-((Table1[[#This Row],[SECT]]-1)*12)</f>
        <v>6</v>
      </c>
    </row>
    <row r="686" spans="1:16" ht="15.75" customHeight="1" x14ac:dyDescent="0.3">
      <c r="A686" s="6" t="s">
        <v>2462</v>
      </c>
      <c r="B686" s="6" t="s">
        <v>2463</v>
      </c>
      <c r="C686" s="6" t="s">
        <v>2464</v>
      </c>
      <c r="F686" s="13" t="s">
        <v>2465</v>
      </c>
      <c r="G686" s="8">
        <v>163</v>
      </c>
      <c r="H686" s="21" t="s">
        <v>1898</v>
      </c>
      <c r="I686" s="9">
        <f t="shared" si="46"/>
        <v>30</v>
      </c>
      <c r="J686" s="9">
        <f t="shared" si="45"/>
        <v>3</v>
      </c>
      <c r="K686" s="10" t="str">
        <f t="shared" si="44"/>
        <v>S2R30B3</v>
      </c>
      <c r="L686" s="10" t="s">
        <v>1899</v>
      </c>
      <c r="M686" s="10">
        <f>IF(Table1[[#This Row],[ID ROW]]&lt;=12,Table1[[#This Row],[ID ROW]],Table1[[#This Row],[ID ROW]]+INT((Table1[[#This Row],[ID ROW]]-1)/12)*2)</f>
        <v>34</v>
      </c>
      <c r="N686" s="10" t="str">
        <f t="shared" si="47"/>
        <v>LSR34B3</v>
      </c>
      <c r="O686" s="10">
        <f>IF(Table1[[#This Row],[ID ROW]]&lt;=12,1,INT((Table1[[#This Row],[ID ROW]]-1)/12)+1)</f>
        <v>3</v>
      </c>
      <c r="P686" s="10">
        <f>Table1[[#This Row],[ID ROW]]-((Table1[[#This Row],[SECT]]-1)*12)</f>
        <v>6</v>
      </c>
    </row>
    <row r="687" spans="1:16" ht="15.75" customHeight="1" x14ac:dyDescent="0.25">
      <c r="A687" s="6" t="s">
        <v>2466</v>
      </c>
      <c r="B687" s="6" t="s">
        <v>2467</v>
      </c>
      <c r="C687" s="6" t="s">
        <v>194</v>
      </c>
      <c r="D687" s="6" t="s">
        <v>399</v>
      </c>
      <c r="F687" s="7" t="s">
        <v>2468</v>
      </c>
      <c r="G687" s="8">
        <v>164</v>
      </c>
      <c r="H687" s="21" t="s">
        <v>1898</v>
      </c>
      <c r="I687" s="9">
        <f t="shared" si="46"/>
        <v>30</v>
      </c>
      <c r="J687" s="9">
        <f t="shared" si="45"/>
        <v>4</v>
      </c>
      <c r="K687" s="10" t="str">
        <f t="shared" si="44"/>
        <v>S2R30B4</v>
      </c>
      <c r="L687" s="10" t="s">
        <v>1899</v>
      </c>
      <c r="M687" s="10">
        <f>IF(Table1[[#This Row],[ID ROW]]&lt;=12,Table1[[#This Row],[ID ROW]],Table1[[#This Row],[ID ROW]]+INT((Table1[[#This Row],[ID ROW]]-1)/12)*2)</f>
        <v>34</v>
      </c>
      <c r="N687" s="10" t="str">
        <f t="shared" si="47"/>
        <v>LSR34B4</v>
      </c>
      <c r="O687" s="10">
        <f>IF(Table1[[#This Row],[ID ROW]]&lt;=12,1,INT((Table1[[#This Row],[ID ROW]]-1)/12)+1)</f>
        <v>3</v>
      </c>
      <c r="P687" s="10">
        <f>Table1[[#This Row],[ID ROW]]-((Table1[[#This Row],[SECT]]-1)*12)</f>
        <v>6</v>
      </c>
    </row>
    <row r="688" spans="1:16" ht="15.75" customHeight="1" x14ac:dyDescent="0.3">
      <c r="A688" s="6" t="s">
        <v>2469</v>
      </c>
      <c r="B688" s="6" t="s">
        <v>338</v>
      </c>
      <c r="C688" s="6" t="s">
        <v>2470</v>
      </c>
      <c r="D688" s="6" t="s">
        <v>2471</v>
      </c>
      <c r="F688" s="13" t="s">
        <v>2472</v>
      </c>
      <c r="G688" s="8">
        <v>165</v>
      </c>
      <c r="H688" s="21" t="s">
        <v>1898</v>
      </c>
      <c r="I688" s="9">
        <f t="shared" si="46"/>
        <v>30</v>
      </c>
      <c r="J688" s="9">
        <f t="shared" si="45"/>
        <v>5</v>
      </c>
      <c r="K688" s="10" t="str">
        <f t="shared" si="44"/>
        <v>S2R30B5</v>
      </c>
      <c r="L688" s="10" t="s">
        <v>1899</v>
      </c>
      <c r="M688" s="10">
        <f>IF(Table1[[#This Row],[ID ROW]]&lt;=12,Table1[[#This Row],[ID ROW]],Table1[[#This Row],[ID ROW]]+INT((Table1[[#This Row],[ID ROW]]-1)/12)*2)</f>
        <v>34</v>
      </c>
      <c r="N688" s="10" t="str">
        <f t="shared" si="47"/>
        <v>LSR34B5</v>
      </c>
      <c r="O688" s="10">
        <f>IF(Table1[[#This Row],[ID ROW]]&lt;=12,1,INT((Table1[[#This Row],[ID ROW]]-1)/12)+1)</f>
        <v>3</v>
      </c>
      <c r="P688" s="10">
        <f>Table1[[#This Row],[ID ROW]]-((Table1[[#This Row],[SECT]]-1)*12)</f>
        <v>6</v>
      </c>
    </row>
    <row r="689" spans="1:16" ht="15.75" customHeight="1" x14ac:dyDescent="0.25">
      <c r="A689" s="6" t="s">
        <v>2473</v>
      </c>
      <c r="B689" s="6" t="s">
        <v>2474</v>
      </c>
      <c r="C689" s="6" t="s">
        <v>67</v>
      </c>
      <c r="F689" s="7" t="s">
        <v>1202</v>
      </c>
      <c r="G689" s="8">
        <v>166</v>
      </c>
      <c r="H689" s="21" t="s">
        <v>1898</v>
      </c>
      <c r="I689" s="9">
        <f t="shared" si="46"/>
        <v>31</v>
      </c>
      <c r="J689" s="9">
        <f t="shared" si="45"/>
        <v>1</v>
      </c>
      <c r="K689" s="10" t="str">
        <f t="shared" si="44"/>
        <v>S2R31B1</v>
      </c>
      <c r="L689" s="10" t="s">
        <v>1899</v>
      </c>
      <c r="M689" s="10">
        <f>IF(Table1[[#This Row],[ID ROW]]&lt;=12,Table1[[#This Row],[ID ROW]],Table1[[#This Row],[ID ROW]]+INT((Table1[[#This Row],[ID ROW]]-1)/12)*2)</f>
        <v>35</v>
      </c>
      <c r="N689" s="10" t="str">
        <f t="shared" si="47"/>
        <v>LSR35B1</v>
      </c>
      <c r="O689" s="10">
        <f>IF(Table1[[#This Row],[ID ROW]]&lt;=12,1,INT((Table1[[#This Row],[ID ROW]]-1)/12)+1)</f>
        <v>3</v>
      </c>
      <c r="P689" s="10">
        <f>Table1[[#This Row],[ID ROW]]-((Table1[[#This Row],[SECT]]-1)*12)</f>
        <v>7</v>
      </c>
    </row>
    <row r="690" spans="1:16" ht="15.75" customHeight="1" x14ac:dyDescent="0.3">
      <c r="A690" s="6" t="s">
        <v>2475</v>
      </c>
      <c r="C690" s="6" t="s">
        <v>2476</v>
      </c>
      <c r="F690" s="13" t="s">
        <v>2477</v>
      </c>
      <c r="G690" s="8">
        <v>167</v>
      </c>
      <c r="H690" s="21" t="s">
        <v>1898</v>
      </c>
      <c r="I690" s="9">
        <f t="shared" si="46"/>
        <v>31</v>
      </c>
      <c r="J690" s="9">
        <f t="shared" si="45"/>
        <v>2</v>
      </c>
      <c r="K690" s="10" t="str">
        <f t="shared" si="44"/>
        <v>S2R31B2</v>
      </c>
      <c r="L690" s="10" t="s">
        <v>1899</v>
      </c>
      <c r="M690" s="10">
        <f>IF(Table1[[#This Row],[ID ROW]]&lt;=12,Table1[[#This Row],[ID ROW]],Table1[[#This Row],[ID ROW]]+INT((Table1[[#This Row],[ID ROW]]-1)/12)*2)</f>
        <v>35</v>
      </c>
      <c r="N690" s="10" t="str">
        <f t="shared" si="47"/>
        <v>LSR35B2</v>
      </c>
      <c r="O690" s="10">
        <f>IF(Table1[[#This Row],[ID ROW]]&lt;=12,1,INT((Table1[[#This Row],[ID ROW]]-1)/12)+1)</f>
        <v>3</v>
      </c>
      <c r="P690" s="10">
        <f>Table1[[#This Row],[ID ROW]]-((Table1[[#This Row],[SECT]]-1)*12)</f>
        <v>7</v>
      </c>
    </row>
    <row r="691" spans="1:16" ht="15.75" customHeight="1" x14ac:dyDescent="0.25">
      <c r="A691" s="16" t="s">
        <v>2478</v>
      </c>
      <c r="B691" s="16" t="s">
        <v>2479</v>
      </c>
      <c r="C691" s="16" t="s">
        <v>2480</v>
      </c>
      <c r="D691" s="6" t="s">
        <v>2481</v>
      </c>
      <c r="F691" s="7" t="s">
        <v>2482</v>
      </c>
      <c r="G691" s="8">
        <v>168</v>
      </c>
      <c r="H691" s="21" t="s">
        <v>1898</v>
      </c>
      <c r="I691" s="9">
        <f t="shared" si="46"/>
        <v>31</v>
      </c>
      <c r="J691" s="9">
        <f t="shared" si="45"/>
        <v>3</v>
      </c>
      <c r="K691" s="10" t="str">
        <f t="shared" si="44"/>
        <v>S2R31B3</v>
      </c>
      <c r="L691" s="10" t="s">
        <v>1899</v>
      </c>
      <c r="M691" s="10">
        <f>IF(Table1[[#This Row],[ID ROW]]&lt;=12,Table1[[#This Row],[ID ROW]],Table1[[#This Row],[ID ROW]]+INT((Table1[[#This Row],[ID ROW]]-1)/12)*2)</f>
        <v>35</v>
      </c>
      <c r="N691" s="10" t="str">
        <f t="shared" si="47"/>
        <v>LSR35B3</v>
      </c>
      <c r="O691" s="10">
        <f>IF(Table1[[#This Row],[ID ROW]]&lt;=12,1,INT((Table1[[#This Row],[ID ROW]]-1)/12)+1)</f>
        <v>3</v>
      </c>
      <c r="P691" s="10">
        <f>Table1[[#This Row],[ID ROW]]-((Table1[[#This Row],[SECT]]-1)*12)</f>
        <v>7</v>
      </c>
    </row>
    <row r="692" spans="1:16" ht="15.75" customHeight="1" x14ac:dyDescent="0.3">
      <c r="A692" s="16" t="s">
        <v>2483</v>
      </c>
      <c r="B692" s="16" t="s">
        <v>2484</v>
      </c>
      <c r="C692" s="6" t="s">
        <v>2485</v>
      </c>
      <c r="F692" s="13" t="s">
        <v>2486</v>
      </c>
      <c r="G692" s="8">
        <v>169</v>
      </c>
      <c r="H692" s="21" t="s">
        <v>1898</v>
      </c>
      <c r="I692" s="9">
        <f t="shared" si="46"/>
        <v>31</v>
      </c>
      <c r="J692" s="9">
        <f t="shared" si="45"/>
        <v>4</v>
      </c>
      <c r="K692" s="10" t="str">
        <f t="shared" si="44"/>
        <v>S2R31B4</v>
      </c>
      <c r="L692" s="10" t="s">
        <v>1899</v>
      </c>
      <c r="M692" s="10">
        <f>IF(Table1[[#This Row],[ID ROW]]&lt;=12,Table1[[#This Row],[ID ROW]],Table1[[#This Row],[ID ROW]]+INT((Table1[[#This Row],[ID ROW]]-1)/12)*2)</f>
        <v>35</v>
      </c>
      <c r="N692" s="10" t="str">
        <f t="shared" si="47"/>
        <v>LSR35B4</v>
      </c>
      <c r="O692" s="10">
        <f>IF(Table1[[#This Row],[ID ROW]]&lt;=12,1,INT((Table1[[#This Row],[ID ROW]]-1)/12)+1)</f>
        <v>3</v>
      </c>
      <c r="P692" s="10">
        <f>Table1[[#This Row],[ID ROW]]-((Table1[[#This Row],[SECT]]-1)*12)</f>
        <v>7</v>
      </c>
    </row>
    <row r="693" spans="1:16" ht="15.75" customHeight="1" x14ac:dyDescent="0.25">
      <c r="A693" s="16" t="s">
        <v>2487</v>
      </c>
      <c r="B693" s="6" t="s">
        <v>2488</v>
      </c>
      <c r="C693" s="6" t="s">
        <v>2489</v>
      </c>
      <c r="D693" s="6" t="s">
        <v>2490</v>
      </c>
      <c r="F693" s="7" t="s">
        <v>2491</v>
      </c>
      <c r="G693" s="8">
        <v>170</v>
      </c>
      <c r="H693" s="21" t="s">
        <v>1898</v>
      </c>
      <c r="I693" s="9">
        <f t="shared" si="46"/>
        <v>31</v>
      </c>
      <c r="J693" s="9">
        <f t="shared" si="45"/>
        <v>5</v>
      </c>
      <c r="K693" s="10" t="str">
        <f t="shared" si="44"/>
        <v>S2R31B5</v>
      </c>
      <c r="L693" s="10" t="s">
        <v>1899</v>
      </c>
      <c r="M693" s="10">
        <f>IF(Table1[[#This Row],[ID ROW]]&lt;=12,Table1[[#This Row],[ID ROW]],Table1[[#This Row],[ID ROW]]+INT((Table1[[#This Row],[ID ROW]]-1)/12)*2)</f>
        <v>35</v>
      </c>
      <c r="N693" s="10" t="str">
        <f t="shared" si="47"/>
        <v>LSR35B5</v>
      </c>
      <c r="O693" s="10">
        <f>IF(Table1[[#This Row],[ID ROW]]&lt;=12,1,INT((Table1[[#This Row],[ID ROW]]-1)/12)+1)</f>
        <v>3</v>
      </c>
      <c r="P693" s="10">
        <f>Table1[[#This Row],[ID ROW]]-((Table1[[#This Row],[SECT]]-1)*12)</f>
        <v>7</v>
      </c>
    </row>
    <row r="694" spans="1:16" ht="15.75" customHeight="1" x14ac:dyDescent="0.3">
      <c r="A694" s="16" t="s">
        <v>2492</v>
      </c>
      <c r="B694" s="6" t="s">
        <v>2493</v>
      </c>
      <c r="C694" s="6" t="s">
        <v>67</v>
      </c>
      <c r="F694" s="13" t="s">
        <v>2494</v>
      </c>
      <c r="G694" s="8">
        <v>171</v>
      </c>
      <c r="H694" s="21" t="s">
        <v>1898</v>
      </c>
      <c r="I694" s="9">
        <f t="shared" si="46"/>
        <v>31</v>
      </c>
      <c r="J694" s="9">
        <f t="shared" si="45"/>
        <v>6</v>
      </c>
      <c r="K694" s="10" t="str">
        <f t="shared" si="44"/>
        <v>S2R31B6</v>
      </c>
      <c r="L694" s="10" t="s">
        <v>1899</v>
      </c>
      <c r="M694" s="10">
        <f>IF(Table1[[#This Row],[ID ROW]]&lt;=12,Table1[[#This Row],[ID ROW]],Table1[[#This Row],[ID ROW]]+INT((Table1[[#This Row],[ID ROW]]-1)/12)*2)</f>
        <v>35</v>
      </c>
      <c r="N694" s="10" t="str">
        <f t="shared" si="47"/>
        <v>LSR35B6</v>
      </c>
      <c r="O694" s="10">
        <f>IF(Table1[[#This Row],[ID ROW]]&lt;=12,1,INT((Table1[[#This Row],[ID ROW]]-1)/12)+1)</f>
        <v>3</v>
      </c>
      <c r="P694" s="10">
        <f>Table1[[#This Row],[ID ROW]]-((Table1[[#This Row],[SECT]]-1)*12)</f>
        <v>7</v>
      </c>
    </row>
    <row r="695" spans="1:16" ht="15.75" customHeight="1" x14ac:dyDescent="0.25">
      <c r="A695" s="6" t="s">
        <v>2495</v>
      </c>
      <c r="B695" s="6" t="s">
        <v>2496</v>
      </c>
      <c r="C695" s="6" t="s">
        <v>67</v>
      </c>
      <c r="F695" s="7" t="s">
        <v>2497</v>
      </c>
      <c r="G695" s="8">
        <v>172</v>
      </c>
      <c r="H695" s="21" t="s">
        <v>1898</v>
      </c>
      <c r="I695" s="9">
        <f t="shared" si="46"/>
        <v>32</v>
      </c>
      <c r="J695" s="9">
        <f t="shared" si="45"/>
        <v>1</v>
      </c>
      <c r="K695" s="10" t="str">
        <f t="shared" si="44"/>
        <v>S2R32B1</v>
      </c>
      <c r="L695" s="10" t="s">
        <v>1899</v>
      </c>
      <c r="M695" s="10">
        <f>IF(Table1[[#This Row],[ID ROW]]&lt;=12,Table1[[#This Row],[ID ROW]],Table1[[#This Row],[ID ROW]]+INT((Table1[[#This Row],[ID ROW]]-1)/12)*2)</f>
        <v>36</v>
      </c>
      <c r="N695" s="10" t="str">
        <f t="shared" si="47"/>
        <v>LSR36B1</v>
      </c>
      <c r="O695" s="10">
        <f>IF(Table1[[#This Row],[ID ROW]]&lt;=12,1,INT((Table1[[#This Row],[ID ROW]]-1)/12)+1)</f>
        <v>3</v>
      </c>
      <c r="P695" s="10">
        <f>Table1[[#This Row],[ID ROW]]-((Table1[[#This Row],[SECT]]-1)*12)</f>
        <v>8</v>
      </c>
    </row>
    <row r="696" spans="1:16" ht="15.75" customHeight="1" x14ac:dyDescent="0.3">
      <c r="A696" s="6" t="s">
        <v>2498</v>
      </c>
      <c r="B696" s="6" t="s">
        <v>2499</v>
      </c>
      <c r="C696" s="6" t="s">
        <v>117</v>
      </c>
      <c r="F696" s="13" t="s">
        <v>2497</v>
      </c>
      <c r="G696" s="8">
        <v>173</v>
      </c>
      <c r="H696" s="21" t="s">
        <v>1898</v>
      </c>
      <c r="I696" s="9">
        <f t="shared" si="46"/>
        <v>32</v>
      </c>
      <c r="J696" s="9">
        <f t="shared" si="45"/>
        <v>2</v>
      </c>
      <c r="K696" s="10" t="str">
        <f t="shared" si="44"/>
        <v>S2R32B2</v>
      </c>
      <c r="L696" s="10" t="s">
        <v>1899</v>
      </c>
      <c r="M696" s="10">
        <f>IF(Table1[[#This Row],[ID ROW]]&lt;=12,Table1[[#This Row],[ID ROW]],Table1[[#This Row],[ID ROW]]+INT((Table1[[#This Row],[ID ROW]]-1)/12)*2)</f>
        <v>36</v>
      </c>
      <c r="N696" s="10" t="str">
        <f t="shared" si="47"/>
        <v>LSR36B2</v>
      </c>
      <c r="O696" s="10">
        <f>IF(Table1[[#This Row],[ID ROW]]&lt;=12,1,INT((Table1[[#This Row],[ID ROW]]-1)/12)+1)</f>
        <v>3</v>
      </c>
      <c r="P696" s="10">
        <f>Table1[[#This Row],[ID ROW]]-((Table1[[#This Row],[SECT]]-1)*12)</f>
        <v>8</v>
      </c>
    </row>
    <row r="697" spans="1:16" ht="15.75" customHeight="1" x14ac:dyDescent="0.25">
      <c r="A697" s="6" t="s">
        <v>2500</v>
      </c>
      <c r="B697" s="6" t="s">
        <v>2501</v>
      </c>
      <c r="C697" s="6" t="s">
        <v>2502</v>
      </c>
      <c r="D697" s="6" t="s">
        <v>2503</v>
      </c>
      <c r="F697" s="7" t="s">
        <v>2504</v>
      </c>
      <c r="G697" s="8">
        <v>174</v>
      </c>
      <c r="H697" s="21" t="s">
        <v>1898</v>
      </c>
      <c r="I697" s="9">
        <f t="shared" si="46"/>
        <v>32</v>
      </c>
      <c r="J697" s="9">
        <f t="shared" si="45"/>
        <v>3</v>
      </c>
      <c r="K697" s="10" t="str">
        <f t="shared" si="44"/>
        <v>S2R32B3</v>
      </c>
      <c r="L697" s="10" t="s">
        <v>1899</v>
      </c>
      <c r="M697" s="10">
        <f>IF(Table1[[#This Row],[ID ROW]]&lt;=12,Table1[[#This Row],[ID ROW]],Table1[[#This Row],[ID ROW]]+INT((Table1[[#This Row],[ID ROW]]-1)/12)*2)</f>
        <v>36</v>
      </c>
      <c r="N697" s="10" t="str">
        <f t="shared" si="47"/>
        <v>LSR36B3</v>
      </c>
      <c r="O697" s="10">
        <f>IF(Table1[[#This Row],[ID ROW]]&lt;=12,1,INT((Table1[[#This Row],[ID ROW]]-1)/12)+1)</f>
        <v>3</v>
      </c>
      <c r="P697" s="10">
        <f>Table1[[#This Row],[ID ROW]]-((Table1[[#This Row],[SECT]]-1)*12)</f>
        <v>8</v>
      </c>
    </row>
    <row r="698" spans="1:16" ht="15.75" customHeight="1" x14ac:dyDescent="0.3">
      <c r="A698" s="6" t="s">
        <v>2505</v>
      </c>
      <c r="B698" s="6" t="s">
        <v>2506</v>
      </c>
      <c r="C698" s="6" t="s">
        <v>2507</v>
      </c>
      <c r="D698" s="6" t="s">
        <v>515</v>
      </c>
      <c r="F698" s="13" t="s">
        <v>2504</v>
      </c>
      <c r="G698" s="8">
        <v>175</v>
      </c>
      <c r="H698" s="21" t="s">
        <v>1898</v>
      </c>
      <c r="I698" s="9">
        <f t="shared" si="46"/>
        <v>32</v>
      </c>
      <c r="J698" s="9">
        <f t="shared" si="45"/>
        <v>4</v>
      </c>
      <c r="K698" s="10" t="str">
        <f t="shared" si="44"/>
        <v>S2R32B4</v>
      </c>
      <c r="L698" s="10" t="s">
        <v>1899</v>
      </c>
      <c r="M698" s="10">
        <f>IF(Table1[[#This Row],[ID ROW]]&lt;=12,Table1[[#This Row],[ID ROW]],Table1[[#This Row],[ID ROW]]+INT((Table1[[#This Row],[ID ROW]]-1)/12)*2)</f>
        <v>36</v>
      </c>
      <c r="N698" s="10" t="str">
        <f t="shared" si="47"/>
        <v>LSR36B4</v>
      </c>
      <c r="O698" s="10">
        <f>IF(Table1[[#This Row],[ID ROW]]&lt;=12,1,INT((Table1[[#This Row],[ID ROW]]-1)/12)+1)</f>
        <v>3</v>
      </c>
      <c r="P698" s="10">
        <f>Table1[[#This Row],[ID ROW]]-((Table1[[#This Row],[SECT]]-1)*12)</f>
        <v>8</v>
      </c>
    </row>
    <row r="699" spans="1:16" ht="15.75" customHeight="1" x14ac:dyDescent="0.25">
      <c r="A699" s="6" t="s">
        <v>2508</v>
      </c>
      <c r="B699" s="6" t="s">
        <v>2509</v>
      </c>
      <c r="C699" s="6" t="s">
        <v>67</v>
      </c>
      <c r="D699" s="6" t="s">
        <v>2510</v>
      </c>
      <c r="F699" s="7" t="s">
        <v>2504</v>
      </c>
      <c r="G699" s="8">
        <v>176</v>
      </c>
      <c r="H699" s="21" t="s">
        <v>1898</v>
      </c>
      <c r="I699" s="9">
        <f t="shared" si="46"/>
        <v>32</v>
      </c>
      <c r="J699" s="9">
        <f t="shared" si="45"/>
        <v>5</v>
      </c>
      <c r="K699" s="10" t="str">
        <f t="shared" si="44"/>
        <v>S2R32B5</v>
      </c>
      <c r="L699" s="10" t="s">
        <v>1899</v>
      </c>
      <c r="M699" s="10">
        <f>IF(Table1[[#This Row],[ID ROW]]&lt;=12,Table1[[#This Row],[ID ROW]],Table1[[#This Row],[ID ROW]]+INT((Table1[[#This Row],[ID ROW]]-1)/12)*2)</f>
        <v>36</v>
      </c>
      <c r="N699" s="10" t="str">
        <f t="shared" si="47"/>
        <v>LSR36B5</v>
      </c>
      <c r="O699" s="10">
        <f>IF(Table1[[#This Row],[ID ROW]]&lt;=12,1,INT((Table1[[#This Row],[ID ROW]]-1)/12)+1)</f>
        <v>3</v>
      </c>
      <c r="P699" s="10">
        <f>Table1[[#This Row],[ID ROW]]-((Table1[[#This Row],[SECT]]-1)*12)</f>
        <v>8</v>
      </c>
    </row>
    <row r="700" spans="1:16" ht="15.75" customHeight="1" x14ac:dyDescent="0.3">
      <c r="A700" s="6" t="s">
        <v>2511</v>
      </c>
      <c r="B700" s="6" t="s">
        <v>2512</v>
      </c>
      <c r="F700" s="13" t="s">
        <v>2513</v>
      </c>
      <c r="G700" s="8">
        <v>177</v>
      </c>
      <c r="H700" s="21" t="s">
        <v>1898</v>
      </c>
      <c r="I700" s="9">
        <f t="shared" si="46"/>
        <v>33</v>
      </c>
      <c r="J700" s="9">
        <f t="shared" si="45"/>
        <v>1</v>
      </c>
      <c r="K700" s="10" t="str">
        <f t="shared" si="44"/>
        <v>S2R33B1</v>
      </c>
      <c r="L700" s="10" t="s">
        <v>1899</v>
      </c>
      <c r="M700" s="10">
        <f>IF(Table1[[#This Row],[ID ROW]]&lt;=12,Table1[[#This Row],[ID ROW]],Table1[[#This Row],[ID ROW]]+INT((Table1[[#This Row],[ID ROW]]-1)/12)*2)</f>
        <v>37</v>
      </c>
      <c r="N700" s="10" t="str">
        <f t="shared" si="47"/>
        <v>LSR37B1</v>
      </c>
      <c r="O700" s="10">
        <f>IF(Table1[[#This Row],[ID ROW]]&lt;=12,1,INT((Table1[[#This Row],[ID ROW]]-1)/12)+1)</f>
        <v>3</v>
      </c>
      <c r="P700" s="10">
        <f>Table1[[#This Row],[ID ROW]]-((Table1[[#This Row],[SECT]]-1)*12)</f>
        <v>9</v>
      </c>
    </row>
    <row r="701" spans="1:16" ht="15.75" customHeight="1" x14ac:dyDescent="0.25">
      <c r="A701" s="6" t="s">
        <v>2514</v>
      </c>
      <c r="B701" s="6" t="s">
        <v>2515</v>
      </c>
      <c r="C701" s="6" t="s">
        <v>2516</v>
      </c>
      <c r="F701" s="7" t="s">
        <v>2517</v>
      </c>
      <c r="G701" s="8">
        <v>178</v>
      </c>
      <c r="H701" s="21" t="s">
        <v>1898</v>
      </c>
      <c r="I701" s="9">
        <f t="shared" si="46"/>
        <v>33</v>
      </c>
      <c r="J701" s="9">
        <f t="shared" si="45"/>
        <v>2</v>
      </c>
      <c r="K701" s="10" t="str">
        <f t="shared" si="44"/>
        <v>S2R33B2</v>
      </c>
      <c r="L701" s="10" t="s">
        <v>1899</v>
      </c>
      <c r="M701" s="10">
        <f>IF(Table1[[#This Row],[ID ROW]]&lt;=12,Table1[[#This Row],[ID ROW]],Table1[[#This Row],[ID ROW]]+INT((Table1[[#This Row],[ID ROW]]-1)/12)*2)</f>
        <v>37</v>
      </c>
      <c r="N701" s="10" t="str">
        <f t="shared" si="47"/>
        <v>LSR37B2</v>
      </c>
      <c r="O701" s="10">
        <f>IF(Table1[[#This Row],[ID ROW]]&lt;=12,1,INT((Table1[[#This Row],[ID ROW]]-1)/12)+1)</f>
        <v>3</v>
      </c>
      <c r="P701" s="10">
        <f>Table1[[#This Row],[ID ROW]]-((Table1[[#This Row],[SECT]]-1)*12)</f>
        <v>9</v>
      </c>
    </row>
    <row r="702" spans="1:16" ht="15.75" customHeight="1" x14ac:dyDescent="0.3">
      <c r="A702" s="6" t="s">
        <v>2518</v>
      </c>
      <c r="B702" s="6" t="s">
        <v>1568</v>
      </c>
      <c r="F702" s="13" t="s">
        <v>2519</v>
      </c>
      <c r="G702" s="8">
        <v>179</v>
      </c>
      <c r="H702" s="21" t="s">
        <v>1898</v>
      </c>
      <c r="I702" s="9">
        <f t="shared" si="46"/>
        <v>33</v>
      </c>
      <c r="J702" s="9">
        <f t="shared" si="45"/>
        <v>3</v>
      </c>
      <c r="K702" s="10" t="str">
        <f t="shared" si="44"/>
        <v>S2R33B3</v>
      </c>
      <c r="L702" s="10" t="s">
        <v>1899</v>
      </c>
      <c r="M702" s="10">
        <f>IF(Table1[[#This Row],[ID ROW]]&lt;=12,Table1[[#This Row],[ID ROW]],Table1[[#This Row],[ID ROW]]+INT((Table1[[#This Row],[ID ROW]]-1)/12)*2)</f>
        <v>37</v>
      </c>
      <c r="N702" s="10" t="str">
        <f t="shared" si="47"/>
        <v>LSR37B3</v>
      </c>
      <c r="O702" s="10">
        <f>IF(Table1[[#This Row],[ID ROW]]&lt;=12,1,INT((Table1[[#This Row],[ID ROW]]-1)/12)+1)</f>
        <v>3</v>
      </c>
      <c r="P702" s="10">
        <f>Table1[[#This Row],[ID ROW]]-((Table1[[#This Row],[SECT]]-1)*12)</f>
        <v>9</v>
      </c>
    </row>
    <row r="703" spans="1:16" ht="15.75" customHeight="1" x14ac:dyDescent="0.25">
      <c r="A703" s="6" t="s">
        <v>2520</v>
      </c>
      <c r="B703" s="6" t="s">
        <v>168</v>
      </c>
      <c r="C703" s="6" t="s">
        <v>2521</v>
      </c>
      <c r="D703" s="6" t="s">
        <v>2522</v>
      </c>
      <c r="F703" s="7" t="s">
        <v>2523</v>
      </c>
      <c r="G703" s="8">
        <v>180</v>
      </c>
      <c r="H703" s="21" t="s">
        <v>1898</v>
      </c>
      <c r="I703" s="9">
        <f t="shared" si="46"/>
        <v>33</v>
      </c>
      <c r="J703" s="9">
        <f t="shared" si="45"/>
        <v>4</v>
      </c>
      <c r="K703" s="10" t="str">
        <f t="shared" si="44"/>
        <v>S2R33B4</v>
      </c>
      <c r="L703" s="10" t="s">
        <v>1899</v>
      </c>
      <c r="M703" s="10">
        <f>IF(Table1[[#This Row],[ID ROW]]&lt;=12,Table1[[#This Row],[ID ROW]],Table1[[#This Row],[ID ROW]]+INT((Table1[[#This Row],[ID ROW]]-1)/12)*2)</f>
        <v>37</v>
      </c>
      <c r="N703" s="10" t="str">
        <f t="shared" si="47"/>
        <v>LSR37B4</v>
      </c>
      <c r="O703" s="10">
        <f>IF(Table1[[#This Row],[ID ROW]]&lt;=12,1,INT((Table1[[#This Row],[ID ROW]]-1)/12)+1)</f>
        <v>3</v>
      </c>
      <c r="P703" s="10">
        <f>Table1[[#This Row],[ID ROW]]-((Table1[[#This Row],[SECT]]-1)*12)</f>
        <v>9</v>
      </c>
    </row>
    <row r="704" spans="1:16" ht="15.75" customHeight="1" x14ac:dyDescent="0.3">
      <c r="A704" s="6" t="s">
        <v>2524</v>
      </c>
      <c r="B704" s="6" t="s">
        <v>2525</v>
      </c>
      <c r="C704" s="6" t="s">
        <v>2526</v>
      </c>
      <c r="F704" s="13" t="s">
        <v>2523</v>
      </c>
      <c r="G704" s="8">
        <v>181</v>
      </c>
      <c r="H704" s="21" t="s">
        <v>1898</v>
      </c>
      <c r="I704" s="9">
        <f t="shared" si="46"/>
        <v>33</v>
      </c>
      <c r="J704" s="9">
        <f t="shared" si="45"/>
        <v>5</v>
      </c>
      <c r="K704" s="10" t="str">
        <f t="shared" si="44"/>
        <v>S2R33B5</v>
      </c>
      <c r="L704" s="10" t="s">
        <v>1899</v>
      </c>
      <c r="M704" s="10">
        <f>IF(Table1[[#This Row],[ID ROW]]&lt;=12,Table1[[#This Row],[ID ROW]],Table1[[#This Row],[ID ROW]]+INT((Table1[[#This Row],[ID ROW]]-1)/12)*2)</f>
        <v>37</v>
      </c>
      <c r="N704" s="10" t="str">
        <f t="shared" si="47"/>
        <v>LSR37B5</v>
      </c>
      <c r="O704" s="10">
        <f>IF(Table1[[#This Row],[ID ROW]]&lt;=12,1,INT((Table1[[#This Row],[ID ROW]]-1)/12)+1)</f>
        <v>3</v>
      </c>
      <c r="P704" s="10">
        <f>Table1[[#This Row],[ID ROW]]-((Table1[[#This Row],[SECT]]-1)*12)</f>
        <v>9</v>
      </c>
    </row>
    <row r="705" spans="1:16" ht="15.75" customHeight="1" x14ac:dyDescent="0.25">
      <c r="A705" s="6" t="s">
        <v>2527</v>
      </c>
      <c r="B705" s="6" t="s">
        <v>579</v>
      </c>
      <c r="C705" s="6" t="s">
        <v>419</v>
      </c>
      <c r="F705" s="7" t="s">
        <v>2523</v>
      </c>
      <c r="G705" s="8">
        <v>182</v>
      </c>
      <c r="H705" s="21" t="s">
        <v>1898</v>
      </c>
      <c r="I705" s="9">
        <f t="shared" si="46"/>
        <v>33</v>
      </c>
      <c r="J705" s="9">
        <f t="shared" si="45"/>
        <v>6</v>
      </c>
      <c r="K705" s="10" t="str">
        <f t="shared" ref="K705:K768" si="48">H705&amp;"R"&amp;I705&amp;"B"&amp;J705</f>
        <v>S2R33B6</v>
      </c>
      <c r="L705" s="10" t="s">
        <v>1899</v>
      </c>
      <c r="M705" s="10">
        <f>IF(Table1[[#This Row],[ID ROW]]&lt;=12,Table1[[#This Row],[ID ROW]],Table1[[#This Row],[ID ROW]]+INT((Table1[[#This Row],[ID ROW]]-1)/12)*2)</f>
        <v>37</v>
      </c>
      <c r="N705" s="10" t="str">
        <f t="shared" si="47"/>
        <v>LSR37B6</v>
      </c>
      <c r="O705" s="10">
        <f>IF(Table1[[#This Row],[ID ROW]]&lt;=12,1,INT((Table1[[#This Row],[ID ROW]]-1)/12)+1)</f>
        <v>3</v>
      </c>
      <c r="P705" s="10">
        <f>Table1[[#This Row],[ID ROW]]-((Table1[[#This Row],[SECT]]-1)*12)</f>
        <v>9</v>
      </c>
    </row>
    <row r="706" spans="1:16" ht="15.75" customHeight="1" x14ac:dyDescent="0.3">
      <c r="A706" s="6" t="s">
        <v>2528</v>
      </c>
      <c r="B706" s="6" t="s">
        <v>2529</v>
      </c>
      <c r="C706" s="6" t="s">
        <v>2530</v>
      </c>
      <c r="D706" s="6" t="s">
        <v>2531</v>
      </c>
      <c r="F706" s="13" t="s">
        <v>2532</v>
      </c>
      <c r="G706" s="8">
        <v>183</v>
      </c>
      <c r="H706" s="21" t="s">
        <v>1898</v>
      </c>
      <c r="I706" s="9">
        <f t="shared" si="46"/>
        <v>34</v>
      </c>
      <c r="J706" s="9">
        <f t="shared" si="45"/>
        <v>1</v>
      </c>
      <c r="K706" s="10" t="str">
        <f t="shared" si="48"/>
        <v>S2R34B1</v>
      </c>
      <c r="L706" s="10" t="s">
        <v>1899</v>
      </c>
      <c r="M706" s="10">
        <f>IF(Table1[[#This Row],[ID ROW]]&lt;=12,Table1[[#This Row],[ID ROW]],Table1[[#This Row],[ID ROW]]+INT((Table1[[#This Row],[ID ROW]]-1)/12)*2)</f>
        <v>38</v>
      </c>
      <c r="N706" s="10" t="str">
        <f t="shared" si="47"/>
        <v>LSR38B1</v>
      </c>
      <c r="O706" s="10">
        <f>IF(Table1[[#This Row],[ID ROW]]&lt;=12,1,INT((Table1[[#This Row],[ID ROW]]-1)/12)+1)</f>
        <v>3</v>
      </c>
      <c r="P706" s="10">
        <f>Table1[[#This Row],[ID ROW]]-((Table1[[#This Row],[SECT]]-1)*12)</f>
        <v>10</v>
      </c>
    </row>
    <row r="707" spans="1:16" ht="15.75" customHeight="1" x14ac:dyDescent="0.25">
      <c r="A707" s="6" t="s">
        <v>2533</v>
      </c>
      <c r="B707" s="6" t="s">
        <v>2534</v>
      </c>
      <c r="C707" s="6" t="s">
        <v>2535</v>
      </c>
      <c r="D707" s="6" t="s">
        <v>2536</v>
      </c>
      <c r="F707" s="7" t="s">
        <v>2537</v>
      </c>
      <c r="G707" s="8">
        <v>184</v>
      </c>
      <c r="H707" s="21" t="s">
        <v>1898</v>
      </c>
      <c r="I707" s="9">
        <f t="shared" si="46"/>
        <v>34</v>
      </c>
      <c r="J707" s="9">
        <f t="shared" si="45"/>
        <v>2</v>
      </c>
      <c r="K707" s="10" t="str">
        <f t="shared" si="48"/>
        <v>S2R34B2</v>
      </c>
      <c r="L707" s="10" t="s">
        <v>1899</v>
      </c>
      <c r="M707" s="10">
        <f>IF(Table1[[#This Row],[ID ROW]]&lt;=12,Table1[[#This Row],[ID ROW]],Table1[[#This Row],[ID ROW]]+INT((Table1[[#This Row],[ID ROW]]-1)/12)*2)</f>
        <v>38</v>
      </c>
      <c r="N707" s="10" t="str">
        <f t="shared" si="47"/>
        <v>LSR38B2</v>
      </c>
      <c r="O707" s="10">
        <f>IF(Table1[[#This Row],[ID ROW]]&lt;=12,1,INT((Table1[[#This Row],[ID ROW]]-1)/12)+1)</f>
        <v>3</v>
      </c>
      <c r="P707" s="10">
        <f>Table1[[#This Row],[ID ROW]]-((Table1[[#This Row],[SECT]]-1)*12)</f>
        <v>10</v>
      </c>
    </row>
    <row r="708" spans="1:16" ht="15.75" customHeight="1" x14ac:dyDescent="0.3">
      <c r="A708" s="6" t="s">
        <v>2538</v>
      </c>
      <c r="B708" s="6" t="s">
        <v>2539</v>
      </c>
      <c r="C708" s="6" t="s">
        <v>2396</v>
      </c>
      <c r="D708" s="6" t="s">
        <v>2540</v>
      </c>
      <c r="F708" s="13" t="s">
        <v>2541</v>
      </c>
      <c r="G708" s="8">
        <v>185</v>
      </c>
      <c r="H708" s="21" t="s">
        <v>1898</v>
      </c>
      <c r="I708" s="9">
        <f t="shared" si="46"/>
        <v>34</v>
      </c>
      <c r="J708" s="9">
        <f t="shared" si="45"/>
        <v>3</v>
      </c>
      <c r="K708" s="10" t="str">
        <f t="shared" si="48"/>
        <v>S2R34B3</v>
      </c>
      <c r="L708" s="10" t="s">
        <v>1899</v>
      </c>
      <c r="M708" s="10">
        <f>IF(Table1[[#This Row],[ID ROW]]&lt;=12,Table1[[#This Row],[ID ROW]],Table1[[#This Row],[ID ROW]]+INT((Table1[[#This Row],[ID ROW]]-1)/12)*2)</f>
        <v>38</v>
      </c>
      <c r="N708" s="10" t="str">
        <f t="shared" si="47"/>
        <v>LSR38B3</v>
      </c>
      <c r="O708" s="10">
        <f>IF(Table1[[#This Row],[ID ROW]]&lt;=12,1,INT((Table1[[#This Row],[ID ROW]]-1)/12)+1)</f>
        <v>3</v>
      </c>
      <c r="P708" s="10">
        <f>Table1[[#This Row],[ID ROW]]-((Table1[[#This Row],[SECT]]-1)*12)</f>
        <v>10</v>
      </c>
    </row>
    <row r="709" spans="1:16" ht="15.75" customHeight="1" x14ac:dyDescent="0.25">
      <c r="A709" s="6" t="s">
        <v>2542</v>
      </c>
      <c r="B709" s="6" t="s">
        <v>2543</v>
      </c>
      <c r="C709" s="6" t="s">
        <v>2544</v>
      </c>
      <c r="F709" s="7" t="s">
        <v>2545</v>
      </c>
      <c r="G709" s="8">
        <v>186</v>
      </c>
      <c r="H709" s="21" t="s">
        <v>1898</v>
      </c>
      <c r="I709" s="9">
        <f t="shared" si="46"/>
        <v>34</v>
      </c>
      <c r="J709" s="9">
        <f t="shared" si="45"/>
        <v>4</v>
      </c>
      <c r="K709" s="10" t="str">
        <f t="shared" si="48"/>
        <v>S2R34B4</v>
      </c>
      <c r="L709" s="10" t="s">
        <v>1899</v>
      </c>
      <c r="M709" s="10">
        <f>IF(Table1[[#This Row],[ID ROW]]&lt;=12,Table1[[#This Row],[ID ROW]],Table1[[#This Row],[ID ROW]]+INT((Table1[[#This Row],[ID ROW]]-1)/12)*2)</f>
        <v>38</v>
      </c>
      <c r="N709" s="10" t="str">
        <f t="shared" si="47"/>
        <v>LSR38B4</v>
      </c>
      <c r="O709" s="10">
        <f>IF(Table1[[#This Row],[ID ROW]]&lt;=12,1,INT((Table1[[#This Row],[ID ROW]]-1)/12)+1)</f>
        <v>3</v>
      </c>
      <c r="P709" s="10">
        <f>Table1[[#This Row],[ID ROW]]-((Table1[[#This Row],[SECT]]-1)*12)</f>
        <v>10</v>
      </c>
    </row>
    <row r="710" spans="1:16" ht="15.75" customHeight="1" x14ac:dyDescent="0.3">
      <c r="A710" s="6" t="s">
        <v>2546</v>
      </c>
      <c r="B710" s="6" t="s">
        <v>2547</v>
      </c>
      <c r="C710" s="6" t="s">
        <v>2548</v>
      </c>
      <c r="D710" s="6" t="s">
        <v>2549</v>
      </c>
      <c r="F710" s="13" t="s">
        <v>2550</v>
      </c>
      <c r="G710" s="8">
        <v>187</v>
      </c>
      <c r="H710" s="21" t="s">
        <v>1898</v>
      </c>
      <c r="I710" s="9">
        <f t="shared" si="46"/>
        <v>34</v>
      </c>
      <c r="J710" s="9">
        <f t="shared" si="45"/>
        <v>5</v>
      </c>
      <c r="K710" s="10" t="str">
        <f t="shared" si="48"/>
        <v>S2R34B5</v>
      </c>
      <c r="L710" s="10" t="s">
        <v>1899</v>
      </c>
      <c r="M710" s="10">
        <f>IF(Table1[[#This Row],[ID ROW]]&lt;=12,Table1[[#This Row],[ID ROW]],Table1[[#This Row],[ID ROW]]+INT((Table1[[#This Row],[ID ROW]]-1)/12)*2)</f>
        <v>38</v>
      </c>
      <c r="N710" s="10" t="str">
        <f t="shared" si="47"/>
        <v>LSR38B5</v>
      </c>
      <c r="O710" s="10">
        <f>IF(Table1[[#This Row],[ID ROW]]&lt;=12,1,INT((Table1[[#This Row],[ID ROW]]-1)/12)+1)</f>
        <v>3</v>
      </c>
      <c r="P710" s="10">
        <f>Table1[[#This Row],[ID ROW]]-((Table1[[#This Row],[SECT]]-1)*12)</f>
        <v>10</v>
      </c>
    </row>
    <row r="711" spans="1:16" ht="15.75" customHeight="1" x14ac:dyDescent="0.25">
      <c r="A711" s="6" t="s">
        <v>2551</v>
      </c>
      <c r="C711" s="6" t="s">
        <v>2552</v>
      </c>
      <c r="F711" s="7" t="s">
        <v>2553</v>
      </c>
      <c r="G711" s="8">
        <v>188</v>
      </c>
      <c r="H711" s="21" t="s">
        <v>1898</v>
      </c>
      <c r="I711" s="9">
        <f t="shared" si="46"/>
        <v>35</v>
      </c>
      <c r="J711" s="9">
        <f t="shared" si="45"/>
        <v>1</v>
      </c>
      <c r="K711" s="10" t="str">
        <f t="shared" si="48"/>
        <v>S2R35B1</v>
      </c>
      <c r="L711" s="10" t="s">
        <v>1899</v>
      </c>
      <c r="M711" s="10">
        <f>IF(Table1[[#This Row],[ID ROW]]&lt;=12,Table1[[#This Row],[ID ROW]],Table1[[#This Row],[ID ROW]]+INT((Table1[[#This Row],[ID ROW]]-1)/12)*2)</f>
        <v>39</v>
      </c>
      <c r="N711" s="10" t="str">
        <f t="shared" si="47"/>
        <v>LSR39B1</v>
      </c>
      <c r="O711" s="10">
        <f>IF(Table1[[#This Row],[ID ROW]]&lt;=12,1,INT((Table1[[#This Row],[ID ROW]]-1)/12)+1)</f>
        <v>3</v>
      </c>
      <c r="P711" s="10">
        <f>Table1[[#This Row],[ID ROW]]-((Table1[[#This Row],[SECT]]-1)*12)</f>
        <v>11</v>
      </c>
    </row>
    <row r="712" spans="1:16" ht="15.75" customHeight="1" x14ac:dyDescent="0.3">
      <c r="A712" s="6" t="s">
        <v>2554</v>
      </c>
      <c r="B712" s="6" t="s">
        <v>2555</v>
      </c>
      <c r="C712" s="6" t="s">
        <v>2556</v>
      </c>
      <c r="F712" s="13" t="s">
        <v>2557</v>
      </c>
      <c r="G712" s="8">
        <v>189</v>
      </c>
      <c r="H712" s="21" t="s">
        <v>1898</v>
      </c>
      <c r="I712" s="9">
        <f t="shared" si="46"/>
        <v>35</v>
      </c>
      <c r="J712" s="9">
        <f t="shared" si="45"/>
        <v>2</v>
      </c>
      <c r="K712" s="10" t="str">
        <f t="shared" si="48"/>
        <v>S2R35B2</v>
      </c>
      <c r="L712" s="10" t="s">
        <v>1899</v>
      </c>
      <c r="M712" s="10">
        <f>IF(Table1[[#This Row],[ID ROW]]&lt;=12,Table1[[#This Row],[ID ROW]],Table1[[#This Row],[ID ROW]]+INT((Table1[[#This Row],[ID ROW]]-1)/12)*2)</f>
        <v>39</v>
      </c>
      <c r="N712" s="10" t="str">
        <f t="shared" si="47"/>
        <v>LSR39B2</v>
      </c>
      <c r="O712" s="10">
        <f>IF(Table1[[#This Row],[ID ROW]]&lt;=12,1,INT((Table1[[#This Row],[ID ROW]]-1)/12)+1)</f>
        <v>3</v>
      </c>
      <c r="P712" s="10">
        <f>Table1[[#This Row],[ID ROW]]-((Table1[[#This Row],[SECT]]-1)*12)</f>
        <v>11</v>
      </c>
    </row>
    <row r="713" spans="1:16" ht="15.75" customHeight="1" x14ac:dyDescent="0.25">
      <c r="A713" s="6" t="s">
        <v>2558</v>
      </c>
      <c r="B713" s="6" t="s">
        <v>234</v>
      </c>
      <c r="C713" s="6" t="s">
        <v>2559</v>
      </c>
      <c r="F713" s="7" t="s">
        <v>2560</v>
      </c>
      <c r="G713" s="8">
        <v>190</v>
      </c>
      <c r="H713" s="21" t="s">
        <v>1898</v>
      </c>
      <c r="I713" s="9">
        <f t="shared" si="46"/>
        <v>35</v>
      </c>
      <c r="J713" s="9">
        <f t="shared" si="45"/>
        <v>3</v>
      </c>
      <c r="K713" s="10" t="str">
        <f t="shared" si="48"/>
        <v>S2R35B3</v>
      </c>
      <c r="L713" s="10" t="s">
        <v>1899</v>
      </c>
      <c r="M713" s="10">
        <f>IF(Table1[[#This Row],[ID ROW]]&lt;=12,Table1[[#This Row],[ID ROW]],Table1[[#This Row],[ID ROW]]+INT((Table1[[#This Row],[ID ROW]]-1)/12)*2)</f>
        <v>39</v>
      </c>
      <c r="N713" s="10" t="str">
        <f t="shared" si="47"/>
        <v>LSR39B3</v>
      </c>
      <c r="O713" s="10">
        <f>IF(Table1[[#This Row],[ID ROW]]&lt;=12,1,INT((Table1[[#This Row],[ID ROW]]-1)/12)+1)</f>
        <v>3</v>
      </c>
      <c r="P713" s="10">
        <f>Table1[[#This Row],[ID ROW]]-((Table1[[#This Row],[SECT]]-1)*12)</f>
        <v>11</v>
      </c>
    </row>
    <row r="714" spans="1:16" ht="15.75" customHeight="1" x14ac:dyDescent="0.3">
      <c r="A714" s="6" t="s">
        <v>2561</v>
      </c>
      <c r="B714" s="6" t="s">
        <v>168</v>
      </c>
      <c r="C714" s="6" t="s">
        <v>2562</v>
      </c>
      <c r="F714" s="13" t="s">
        <v>2563</v>
      </c>
      <c r="G714" s="8">
        <v>191</v>
      </c>
      <c r="H714" s="21" t="s">
        <v>1898</v>
      </c>
      <c r="I714" s="9">
        <f t="shared" si="46"/>
        <v>35</v>
      </c>
      <c r="J714" s="9">
        <f t="shared" si="45"/>
        <v>4</v>
      </c>
      <c r="K714" s="10" t="str">
        <f t="shared" si="48"/>
        <v>S2R35B4</v>
      </c>
      <c r="L714" s="10" t="s">
        <v>1899</v>
      </c>
      <c r="M714" s="10">
        <f>IF(Table1[[#This Row],[ID ROW]]&lt;=12,Table1[[#This Row],[ID ROW]],Table1[[#This Row],[ID ROW]]+INT((Table1[[#This Row],[ID ROW]]-1)/12)*2)</f>
        <v>39</v>
      </c>
      <c r="N714" s="10" t="str">
        <f t="shared" si="47"/>
        <v>LSR39B4</v>
      </c>
      <c r="O714" s="10">
        <f>IF(Table1[[#This Row],[ID ROW]]&lt;=12,1,INT((Table1[[#This Row],[ID ROW]]-1)/12)+1)</f>
        <v>3</v>
      </c>
      <c r="P714" s="10">
        <f>Table1[[#This Row],[ID ROW]]-((Table1[[#This Row],[SECT]]-1)*12)</f>
        <v>11</v>
      </c>
    </row>
    <row r="715" spans="1:16" ht="15.75" customHeight="1" x14ac:dyDescent="0.25">
      <c r="A715" s="6" t="s">
        <v>991</v>
      </c>
      <c r="B715" s="6" t="s">
        <v>2564</v>
      </c>
      <c r="C715" s="6" t="s">
        <v>2565</v>
      </c>
      <c r="F715" s="7" t="s">
        <v>2563</v>
      </c>
      <c r="G715" s="8">
        <v>192</v>
      </c>
      <c r="H715" s="21" t="s">
        <v>1898</v>
      </c>
      <c r="I715" s="9">
        <f t="shared" si="46"/>
        <v>35</v>
      </c>
      <c r="J715" s="9">
        <f t="shared" si="45"/>
        <v>5</v>
      </c>
      <c r="K715" s="10" t="str">
        <f t="shared" si="48"/>
        <v>S2R35B5</v>
      </c>
      <c r="L715" s="10" t="s">
        <v>1899</v>
      </c>
      <c r="M715" s="10">
        <f>IF(Table1[[#This Row],[ID ROW]]&lt;=12,Table1[[#This Row],[ID ROW]],Table1[[#This Row],[ID ROW]]+INT((Table1[[#This Row],[ID ROW]]-1)/12)*2)</f>
        <v>39</v>
      </c>
      <c r="N715" s="10" t="str">
        <f t="shared" si="47"/>
        <v>LSR39B5</v>
      </c>
      <c r="O715" s="10">
        <f>IF(Table1[[#This Row],[ID ROW]]&lt;=12,1,INT((Table1[[#This Row],[ID ROW]]-1)/12)+1)</f>
        <v>3</v>
      </c>
      <c r="P715" s="10">
        <f>Table1[[#This Row],[ID ROW]]-((Table1[[#This Row],[SECT]]-1)*12)</f>
        <v>11</v>
      </c>
    </row>
    <row r="716" spans="1:16" ht="15.75" customHeight="1" x14ac:dyDescent="0.3">
      <c r="A716" s="6" t="s">
        <v>2566</v>
      </c>
      <c r="B716" s="6" t="s">
        <v>2567</v>
      </c>
      <c r="C716" s="6" t="s">
        <v>2568</v>
      </c>
      <c r="F716" s="13" t="s">
        <v>2569</v>
      </c>
      <c r="G716" s="8">
        <v>193</v>
      </c>
      <c r="H716" s="21" t="s">
        <v>1898</v>
      </c>
      <c r="I716" s="9">
        <f t="shared" si="46"/>
        <v>35</v>
      </c>
      <c r="J716" s="9">
        <f t="shared" si="45"/>
        <v>6</v>
      </c>
      <c r="K716" s="10" t="str">
        <f t="shared" si="48"/>
        <v>S2R35B6</v>
      </c>
      <c r="L716" s="10" t="s">
        <v>1899</v>
      </c>
      <c r="M716" s="10">
        <f>IF(Table1[[#This Row],[ID ROW]]&lt;=12,Table1[[#This Row],[ID ROW]],Table1[[#This Row],[ID ROW]]+INT((Table1[[#This Row],[ID ROW]]-1)/12)*2)</f>
        <v>39</v>
      </c>
      <c r="N716" s="10" t="str">
        <f t="shared" si="47"/>
        <v>LSR39B6</v>
      </c>
      <c r="O716" s="10">
        <f>IF(Table1[[#This Row],[ID ROW]]&lt;=12,1,INT((Table1[[#This Row],[ID ROW]]-1)/12)+1)</f>
        <v>3</v>
      </c>
      <c r="P716" s="10">
        <f>Table1[[#This Row],[ID ROW]]-((Table1[[#This Row],[SECT]]-1)*12)</f>
        <v>11</v>
      </c>
    </row>
    <row r="717" spans="1:16" ht="15.75" customHeight="1" x14ac:dyDescent="0.25">
      <c r="A717" s="6" t="s">
        <v>2570</v>
      </c>
      <c r="B717" s="6" t="s">
        <v>2571</v>
      </c>
      <c r="C717" s="6" t="s">
        <v>2572</v>
      </c>
      <c r="D717" s="6" t="s">
        <v>2573</v>
      </c>
      <c r="F717" s="7" t="s">
        <v>2574</v>
      </c>
      <c r="G717" s="8">
        <v>194</v>
      </c>
      <c r="H717" s="21" t="s">
        <v>1898</v>
      </c>
      <c r="I717" s="9">
        <f t="shared" si="46"/>
        <v>36</v>
      </c>
      <c r="J717" s="9">
        <f t="shared" si="45"/>
        <v>1</v>
      </c>
      <c r="K717" s="10" t="str">
        <f t="shared" si="48"/>
        <v>S2R36B1</v>
      </c>
      <c r="L717" s="10" t="s">
        <v>1899</v>
      </c>
      <c r="M717" s="10">
        <f>IF(Table1[[#This Row],[ID ROW]]&lt;=12,Table1[[#This Row],[ID ROW]],Table1[[#This Row],[ID ROW]]+INT((Table1[[#This Row],[ID ROW]]-1)/12)*2)</f>
        <v>40</v>
      </c>
      <c r="N717" s="10" t="str">
        <f t="shared" si="47"/>
        <v>LSR40B1</v>
      </c>
      <c r="O717" s="10">
        <f>IF(Table1[[#This Row],[ID ROW]]&lt;=12,1,INT((Table1[[#This Row],[ID ROW]]-1)/12)+1)</f>
        <v>3</v>
      </c>
      <c r="P717" s="10">
        <f>Table1[[#This Row],[ID ROW]]-((Table1[[#This Row],[SECT]]-1)*12)</f>
        <v>12</v>
      </c>
    </row>
    <row r="718" spans="1:16" ht="15.75" customHeight="1" x14ac:dyDescent="0.3">
      <c r="A718" s="6" t="s">
        <v>2575</v>
      </c>
      <c r="B718" s="6" t="s">
        <v>2576</v>
      </c>
      <c r="C718" s="6" t="s">
        <v>2577</v>
      </c>
      <c r="D718" s="6" t="s">
        <v>2578</v>
      </c>
      <c r="F718" s="13" t="s">
        <v>2574</v>
      </c>
      <c r="G718" s="8">
        <v>195</v>
      </c>
      <c r="H718" s="21" t="s">
        <v>1898</v>
      </c>
      <c r="I718" s="9">
        <f t="shared" si="46"/>
        <v>36</v>
      </c>
      <c r="J718" s="9">
        <f t="shared" si="45"/>
        <v>2</v>
      </c>
      <c r="K718" s="10" t="str">
        <f t="shared" si="48"/>
        <v>S2R36B2</v>
      </c>
      <c r="L718" s="10" t="s">
        <v>1899</v>
      </c>
      <c r="M718" s="10">
        <f>IF(Table1[[#This Row],[ID ROW]]&lt;=12,Table1[[#This Row],[ID ROW]],Table1[[#This Row],[ID ROW]]+INT((Table1[[#This Row],[ID ROW]]-1)/12)*2)</f>
        <v>40</v>
      </c>
      <c r="N718" s="10" t="str">
        <f t="shared" si="47"/>
        <v>LSR40B2</v>
      </c>
      <c r="O718" s="10">
        <f>IF(Table1[[#This Row],[ID ROW]]&lt;=12,1,INT((Table1[[#This Row],[ID ROW]]-1)/12)+1)</f>
        <v>3</v>
      </c>
      <c r="P718" s="10">
        <f>Table1[[#This Row],[ID ROW]]-((Table1[[#This Row],[SECT]]-1)*12)</f>
        <v>12</v>
      </c>
    </row>
    <row r="719" spans="1:16" ht="15.75" customHeight="1" x14ac:dyDescent="0.25">
      <c r="A719" s="6" t="s">
        <v>2579</v>
      </c>
      <c r="B719" s="6" t="s">
        <v>2580</v>
      </c>
      <c r="C719" s="6" t="s">
        <v>67</v>
      </c>
      <c r="F719" s="7" t="s">
        <v>2581</v>
      </c>
      <c r="G719" s="8">
        <v>196</v>
      </c>
      <c r="H719" s="21" t="s">
        <v>1898</v>
      </c>
      <c r="I719" s="9">
        <f t="shared" si="46"/>
        <v>36</v>
      </c>
      <c r="J719" s="9">
        <f t="shared" si="45"/>
        <v>3</v>
      </c>
      <c r="K719" s="10" t="str">
        <f t="shared" si="48"/>
        <v>S2R36B3</v>
      </c>
      <c r="L719" s="10" t="s">
        <v>1899</v>
      </c>
      <c r="M719" s="10">
        <f>IF(Table1[[#This Row],[ID ROW]]&lt;=12,Table1[[#This Row],[ID ROW]],Table1[[#This Row],[ID ROW]]+INT((Table1[[#This Row],[ID ROW]]-1)/12)*2)</f>
        <v>40</v>
      </c>
      <c r="N719" s="10" t="str">
        <f t="shared" si="47"/>
        <v>LSR40B3</v>
      </c>
      <c r="O719" s="10">
        <f>IF(Table1[[#This Row],[ID ROW]]&lt;=12,1,INT((Table1[[#This Row],[ID ROW]]-1)/12)+1)</f>
        <v>3</v>
      </c>
      <c r="P719" s="10">
        <f>Table1[[#This Row],[ID ROW]]-((Table1[[#This Row],[SECT]]-1)*12)</f>
        <v>12</v>
      </c>
    </row>
    <row r="720" spans="1:16" ht="15.75" customHeight="1" x14ac:dyDescent="0.3">
      <c r="A720" s="6" t="s">
        <v>2582</v>
      </c>
      <c r="F720" s="13" t="s">
        <v>2583</v>
      </c>
      <c r="G720" s="8">
        <v>197</v>
      </c>
      <c r="H720" s="21" t="s">
        <v>1898</v>
      </c>
      <c r="I720" s="9">
        <f t="shared" si="46"/>
        <v>36</v>
      </c>
      <c r="J720" s="9">
        <f t="shared" si="45"/>
        <v>4</v>
      </c>
      <c r="K720" s="10" t="str">
        <f t="shared" si="48"/>
        <v>S2R36B4</v>
      </c>
      <c r="L720" s="10" t="s">
        <v>1899</v>
      </c>
      <c r="M720" s="10">
        <f>IF(Table1[[#This Row],[ID ROW]]&lt;=12,Table1[[#This Row],[ID ROW]],Table1[[#This Row],[ID ROW]]+INT((Table1[[#This Row],[ID ROW]]-1)/12)*2)</f>
        <v>40</v>
      </c>
      <c r="N720" s="10" t="str">
        <f t="shared" si="47"/>
        <v>LSR40B4</v>
      </c>
      <c r="O720" s="10">
        <f>IF(Table1[[#This Row],[ID ROW]]&lt;=12,1,INT((Table1[[#This Row],[ID ROW]]-1)/12)+1)</f>
        <v>3</v>
      </c>
      <c r="P720" s="10">
        <f>Table1[[#This Row],[ID ROW]]-((Table1[[#This Row],[SECT]]-1)*12)</f>
        <v>12</v>
      </c>
    </row>
    <row r="721" spans="1:16" ht="15.75" customHeight="1" x14ac:dyDescent="0.25">
      <c r="A721" s="6" t="s">
        <v>2584</v>
      </c>
      <c r="B721" s="6" t="s">
        <v>2585</v>
      </c>
      <c r="C721" s="6" t="s">
        <v>2586</v>
      </c>
      <c r="D721" s="6" t="s">
        <v>2587</v>
      </c>
      <c r="F721" s="7" t="s">
        <v>2588</v>
      </c>
      <c r="G721" s="8">
        <v>198</v>
      </c>
      <c r="H721" s="21" t="s">
        <v>1898</v>
      </c>
      <c r="I721" s="9">
        <f t="shared" si="46"/>
        <v>36</v>
      </c>
      <c r="J721" s="9">
        <f t="shared" si="45"/>
        <v>5</v>
      </c>
      <c r="K721" s="10" t="str">
        <f t="shared" si="48"/>
        <v>S2R36B5</v>
      </c>
      <c r="L721" s="10" t="s">
        <v>1899</v>
      </c>
      <c r="M721" s="10">
        <f>IF(Table1[[#This Row],[ID ROW]]&lt;=12,Table1[[#This Row],[ID ROW]],Table1[[#This Row],[ID ROW]]+INT((Table1[[#This Row],[ID ROW]]-1)/12)*2)</f>
        <v>40</v>
      </c>
      <c r="N721" s="10" t="str">
        <f t="shared" si="47"/>
        <v>LSR40B5</v>
      </c>
      <c r="O721" s="10">
        <f>IF(Table1[[#This Row],[ID ROW]]&lt;=12,1,INT((Table1[[#This Row],[ID ROW]]-1)/12)+1)</f>
        <v>3</v>
      </c>
      <c r="P721" s="10">
        <f>Table1[[#This Row],[ID ROW]]-((Table1[[#This Row],[SECT]]-1)*12)</f>
        <v>12</v>
      </c>
    </row>
    <row r="722" spans="1:16" ht="15.75" customHeight="1" x14ac:dyDescent="0.3">
      <c r="A722" s="6" t="s">
        <v>2589</v>
      </c>
      <c r="B722" s="6" t="s">
        <v>234</v>
      </c>
      <c r="C722" s="6" t="s">
        <v>2590</v>
      </c>
      <c r="F722" s="13" t="s">
        <v>2591</v>
      </c>
      <c r="G722" s="8">
        <v>199</v>
      </c>
      <c r="H722" s="21" t="s">
        <v>1898</v>
      </c>
      <c r="I722" s="9">
        <f t="shared" si="46"/>
        <v>37</v>
      </c>
      <c r="J722" s="9">
        <f t="shared" si="45"/>
        <v>1</v>
      </c>
      <c r="K722" s="10" t="str">
        <f t="shared" si="48"/>
        <v>S2R37B1</v>
      </c>
      <c r="L722" s="10" t="s">
        <v>1899</v>
      </c>
      <c r="M722" s="10">
        <f>IF(Table1[[#This Row],[ID ROW]]&lt;=12,Table1[[#This Row],[ID ROW]],Table1[[#This Row],[ID ROW]]+INT((Table1[[#This Row],[ID ROW]]-1)/12)*2)</f>
        <v>43</v>
      </c>
      <c r="N722" s="10" t="str">
        <f t="shared" si="47"/>
        <v>LSR43B1</v>
      </c>
      <c r="O722" s="10">
        <f>IF(Table1[[#This Row],[ID ROW]]&lt;=12,1,INT((Table1[[#This Row],[ID ROW]]-1)/12)+1)</f>
        <v>4</v>
      </c>
      <c r="P722" s="10">
        <f>Table1[[#This Row],[ID ROW]]-((Table1[[#This Row],[SECT]]-1)*12)</f>
        <v>1</v>
      </c>
    </row>
    <row r="723" spans="1:16" ht="15.75" customHeight="1" x14ac:dyDescent="0.25">
      <c r="A723" s="6" t="s">
        <v>2592</v>
      </c>
      <c r="B723" s="6" t="s">
        <v>1416</v>
      </c>
      <c r="C723" s="6" t="s">
        <v>2593</v>
      </c>
      <c r="F723" s="7" t="s">
        <v>2591</v>
      </c>
      <c r="G723" s="8">
        <v>200</v>
      </c>
      <c r="H723" s="21" t="s">
        <v>1898</v>
      </c>
      <c r="I723" s="9">
        <f t="shared" si="46"/>
        <v>37</v>
      </c>
      <c r="J723" s="9">
        <f t="shared" si="45"/>
        <v>2</v>
      </c>
      <c r="K723" s="10" t="str">
        <f t="shared" si="48"/>
        <v>S2R37B2</v>
      </c>
      <c r="L723" s="10" t="s">
        <v>1899</v>
      </c>
      <c r="M723" s="10">
        <f>IF(Table1[[#This Row],[ID ROW]]&lt;=12,Table1[[#This Row],[ID ROW]],Table1[[#This Row],[ID ROW]]+INT((Table1[[#This Row],[ID ROW]]-1)/12)*2)</f>
        <v>43</v>
      </c>
      <c r="N723" s="10" t="str">
        <f t="shared" si="47"/>
        <v>LSR43B2</v>
      </c>
      <c r="O723" s="10">
        <f>IF(Table1[[#This Row],[ID ROW]]&lt;=12,1,INT((Table1[[#This Row],[ID ROW]]-1)/12)+1)</f>
        <v>4</v>
      </c>
      <c r="P723" s="10">
        <f>Table1[[#This Row],[ID ROW]]-((Table1[[#This Row],[SECT]]-1)*12)</f>
        <v>1</v>
      </c>
    </row>
    <row r="724" spans="1:16" ht="15.75" customHeight="1" x14ac:dyDescent="0.3">
      <c r="A724" s="6" t="s">
        <v>2594</v>
      </c>
      <c r="B724" s="6" t="s">
        <v>2595</v>
      </c>
      <c r="C724" s="6" t="s">
        <v>2596</v>
      </c>
      <c r="D724" s="6" t="s">
        <v>2597</v>
      </c>
      <c r="F724" s="13" t="s">
        <v>2598</v>
      </c>
      <c r="G724" s="8">
        <v>201</v>
      </c>
      <c r="H724" s="21" t="s">
        <v>1898</v>
      </c>
      <c r="I724" s="9">
        <f t="shared" si="46"/>
        <v>37</v>
      </c>
      <c r="J724" s="9">
        <f t="shared" si="45"/>
        <v>3</v>
      </c>
      <c r="K724" s="10" t="str">
        <f t="shared" si="48"/>
        <v>S2R37B3</v>
      </c>
      <c r="L724" s="10" t="s">
        <v>1899</v>
      </c>
      <c r="M724" s="10">
        <f>IF(Table1[[#This Row],[ID ROW]]&lt;=12,Table1[[#This Row],[ID ROW]],Table1[[#This Row],[ID ROW]]+INT((Table1[[#This Row],[ID ROW]]-1)/12)*2)</f>
        <v>43</v>
      </c>
      <c r="N724" s="10" t="str">
        <f t="shared" si="47"/>
        <v>LSR43B3</v>
      </c>
      <c r="O724" s="10">
        <f>IF(Table1[[#This Row],[ID ROW]]&lt;=12,1,INT((Table1[[#This Row],[ID ROW]]-1)/12)+1)</f>
        <v>4</v>
      </c>
      <c r="P724" s="10">
        <f>Table1[[#This Row],[ID ROW]]-((Table1[[#This Row],[SECT]]-1)*12)</f>
        <v>1</v>
      </c>
    </row>
    <row r="725" spans="1:16" ht="15.75" customHeight="1" x14ac:dyDescent="0.25">
      <c r="A725" s="6" t="s">
        <v>2599</v>
      </c>
      <c r="B725" s="6" t="s">
        <v>2600</v>
      </c>
      <c r="C725" s="6" t="s">
        <v>296</v>
      </c>
      <c r="D725" s="6" t="s">
        <v>2601</v>
      </c>
      <c r="F725" s="7" t="s">
        <v>2602</v>
      </c>
      <c r="G725" s="8">
        <v>202</v>
      </c>
      <c r="H725" s="21" t="s">
        <v>1898</v>
      </c>
      <c r="I725" s="9">
        <f t="shared" si="46"/>
        <v>37</v>
      </c>
      <c r="J725" s="9">
        <f t="shared" si="45"/>
        <v>4</v>
      </c>
      <c r="K725" s="10" t="str">
        <f t="shared" si="48"/>
        <v>S2R37B4</v>
      </c>
      <c r="L725" s="10" t="s">
        <v>1899</v>
      </c>
      <c r="M725" s="10">
        <f>IF(Table1[[#This Row],[ID ROW]]&lt;=12,Table1[[#This Row],[ID ROW]],Table1[[#This Row],[ID ROW]]+INT((Table1[[#This Row],[ID ROW]]-1)/12)*2)</f>
        <v>43</v>
      </c>
      <c r="N725" s="10" t="str">
        <f t="shared" si="47"/>
        <v>LSR43B4</v>
      </c>
      <c r="O725" s="10">
        <f>IF(Table1[[#This Row],[ID ROW]]&lt;=12,1,INT((Table1[[#This Row],[ID ROW]]-1)/12)+1)</f>
        <v>4</v>
      </c>
      <c r="P725" s="10">
        <f>Table1[[#This Row],[ID ROW]]-((Table1[[#This Row],[SECT]]-1)*12)</f>
        <v>1</v>
      </c>
    </row>
    <row r="726" spans="1:16" ht="15.75" customHeight="1" x14ac:dyDescent="0.3">
      <c r="A726" s="6" t="s">
        <v>2603</v>
      </c>
      <c r="B726" s="6" t="s">
        <v>2604</v>
      </c>
      <c r="C726" s="6" t="s">
        <v>2605</v>
      </c>
      <c r="F726" s="13" t="s">
        <v>2606</v>
      </c>
      <c r="G726" s="8">
        <v>203</v>
      </c>
      <c r="H726" s="21" t="s">
        <v>1898</v>
      </c>
      <c r="I726" s="9">
        <f t="shared" si="46"/>
        <v>37</v>
      </c>
      <c r="J726" s="9">
        <f t="shared" si="45"/>
        <v>5</v>
      </c>
      <c r="K726" s="10" t="str">
        <f t="shared" si="48"/>
        <v>S2R37B5</v>
      </c>
      <c r="L726" s="10" t="s">
        <v>1899</v>
      </c>
      <c r="M726" s="10">
        <f>IF(Table1[[#This Row],[ID ROW]]&lt;=12,Table1[[#This Row],[ID ROW]],Table1[[#This Row],[ID ROW]]+INT((Table1[[#This Row],[ID ROW]]-1)/12)*2)</f>
        <v>43</v>
      </c>
      <c r="N726" s="10" t="str">
        <f t="shared" si="47"/>
        <v>LSR43B5</v>
      </c>
      <c r="O726" s="10">
        <f>IF(Table1[[#This Row],[ID ROW]]&lt;=12,1,INT((Table1[[#This Row],[ID ROW]]-1)/12)+1)</f>
        <v>4</v>
      </c>
      <c r="P726" s="10">
        <f>Table1[[#This Row],[ID ROW]]-((Table1[[#This Row],[SECT]]-1)*12)</f>
        <v>1</v>
      </c>
    </row>
    <row r="727" spans="1:16" ht="15.75" customHeight="1" x14ac:dyDescent="0.25">
      <c r="A727" s="6" t="s">
        <v>2607</v>
      </c>
      <c r="B727" s="6" t="s">
        <v>2608</v>
      </c>
      <c r="C727" s="6" t="s">
        <v>2609</v>
      </c>
      <c r="F727" s="7" t="s">
        <v>2606</v>
      </c>
      <c r="G727" s="8">
        <v>204</v>
      </c>
      <c r="H727" s="21" t="s">
        <v>1898</v>
      </c>
      <c r="I727" s="9">
        <f t="shared" si="46"/>
        <v>37</v>
      </c>
      <c r="J727" s="9">
        <f t="shared" si="45"/>
        <v>6</v>
      </c>
      <c r="K727" s="10" t="str">
        <f t="shared" si="48"/>
        <v>S2R37B6</v>
      </c>
      <c r="L727" s="10" t="s">
        <v>1899</v>
      </c>
      <c r="M727" s="10">
        <f>IF(Table1[[#This Row],[ID ROW]]&lt;=12,Table1[[#This Row],[ID ROW]],Table1[[#This Row],[ID ROW]]+INT((Table1[[#This Row],[ID ROW]]-1)/12)*2)</f>
        <v>43</v>
      </c>
      <c r="N727" s="10" t="str">
        <f t="shared" si="47"/>
        <v>LSR43B6</v>
      </c>
      <c r="O727" s="10">
        <f>IF(Table1[[#This Row],[ID ROW]]&lt;=12,1,INT((Table1[[#This Row],[ID ROW]]-1)/12)+1)</f>
        <v>4</v>
      </c>
      <c r="P727" s="10">
        <f>Table1[[#This Row],[ID ROW]]-((Table1[[#This Row],[SECT]]-1)*12)</f>
        <v>1</v>
      </c>
    </row>
    <row r="728" spans="1:16" ht="15.75" customHeight="1" x14ac:dyDescent="0.3">
      <c r="A728" s="6" t="s">
        <v>2610</v>
      </c>
      <c r="B728" s="6" t="s">
        <v>2611</v>
      </c>
      <c r="C728" s="6" t="s">
        <v>2612</v>
      </c>
      <c r="D728" s="6" t="s">
        <v>2613</v>
      </c>
      <c r="F728" s="13" t="s">
        <v>2614</v>
      </c>
      <c r="G728" s="8">
        <v>205</v>
      </c>
      <c r="H728" s="21" t="s">
        <v>1898</v>
      </c>
      <c r="I728" s="9">
        <f t="shared" si="46"/>
        <v>38</v>
      </c>
      <c r="J728" s="9">
        <f t="shared" si="45"/>
        <v>1</v>
      </c>
      <c r="K728" s="10" t="str">
        <f t="shared" si="48"/>
        <v>S2R38B1</v>
      </c>
      <c r="L728" s="10" t="s">
        <v>1899</v>
      </c>
      <c r="M728" s="10">
        <f>IF(Table1[[#This Row],[ID ROW]]&lt;=12,Table1[[#This Row],[ID ROW]],Table1[[#This Row],[ID ROW]]+INT((Table1[[#This Row],[ID ROW]]-1)/12)*2)</f>
        <v>44</v>
      </c>
      <c r="N728" s="10" t="str">
        <f t="shared" si="47"/>
        <v>LSR44B1</v>
      </c>
      <c r="O728" s="10">
        <f>IF(Table1[[#This Row],[ID ROW]]&lt;=12,1,INT((Table1[[#This Row],[ID ROW]]-1)/12)+1)</f>
        <v>4</v>
      </c>
      <c r="P728" s="10">
        <f>Table1[[#This Row],[ID ROW]]-((Table1[[#This Row],[SECT]]-1)*12)</f>
        <v>2</v>
      </c>
    </row>
    <row r="729" spans="1:16" ht="15.75" customHeight="1" x14ac:dyDescent="0.25">
      <c r="A729" s="6" t="s">
        <v>165</v>
      </c>
      <c r="B729" s="6" t="s">
        <v>2615</v>
      </c>
      <c r="C729" s="6" t="s">
        <v>2616</v>
      </c>
      <c r="F729" s="7" t="s">
        <v>2617</v>
      </c>
      <c r="G729" s="8">
        <v>206</v>
      </c>
      <c r="H729" s="21" t="s">
        <v>1898</v>
      </c>
      <c r="I729" s="9">
        <f t="shared" si="46"/>
        <v>38</v>
      </c>
      <c r="J729" s="9">
        <f t="shared" si="45"/>
        <v>2</v>
      </c>
      <c r="K729" s="10" t="str">
        <f t="shared" si="48"/>
        <v>S2R38B2</v>
      </c>
      <c r="L729" s="10" t="s">
        <v>1899</v>
      </c>
      <c r="M729" s="10">
        <f>IF(Table1[[#This Row],[ID ROW]]&lt;=12,Table1[[#This Row],[ID ROW]],Table1[[#This Row],[ID ROW]]+INT((Table1[[#This Row],[ID ROW]]-1)/12)*2)</f>
        <v>44</v>
      </c>
      <c r="N729" s="10" t="str">
        <f t="shared" si="47"/>
        <v>LSR44B2</v>
      </c>
      <c r="O729" s="10">
        <f>IF(Table1[[#This Row],[ID ROW]]&lt;=12,1,INT((Table1[[#This Row],[ID ROW]]-1)/12)+1)</f>
        <v>4</v>
      </c>
      <c r="P729" s="10">
        <f>Table1[[#This Row],[ID ROW]]-((Table1[[#This Row],[SECT]]-1)*12)</f>
        <v>2</v>
      </c>
    </row>
    <row r="730" spans="1:16" ht="15.75" customHeight="1" x14ac:dyDescent="0.3">
      <c r="A730" s="6" t="s">
        <v>2618</v>
      </c>
      <c r="B730" s="6" t="s">
        <v>2619</v>
      </c>
      <c r="C730" s="6" t="s">
        <v>2620</v>
      </c>
      <c r="D730" s="6" t="s">
        <v>2621</v>
      </c>
      <c r="F730" s="13" t="s">
        <v>2622</v>
      </c>
      <c r="G730" s="8">
        <v>207</v>
      </c>
      <c r="H730" s="21" t="s">
        <v>1898</v>
      </c>
      <c r="I730" s="9">
        <f t="shared" si="46"/>
        <v>38</v>
      </c>
      <c r="J730" s="9">
        <f t="shared" si="45"/>
        <v>3</v>
      </c>
      <c r="K730" s="10" t="str">
        <f t="shared" si="48"/>
        <v>S2R38B3</v>
      </c>
      <c r="L730" s="10" t="s">
        <v>1899</v>
      </c>
      <c r="M730" s="10">
        <f>IF(Table1[[#This Row],[ID ROW]]&lt;=12,Table1[[#This Row],[ID ROW]],Table1[[#This Row],[ID ROW]]+INT((Table1[[#This Row],[ID ROW]]-1)/12)*2)</f>
        <v>44</v>
      </c>
      <c r="N730" s="10" t="str">
        <f t="shared" si="47"/>
        <v>LSR44B3</v>
      </c>
      <c r="O730" s="10">
        <f>IF(Table1[[#This Row],[ID ROW]]&lt;=12,1,INT((Table1[[#This Row],[ID ROW]]-1)/12)+1)</f>
        <v>4</v>
      </c>
      <c r="P730" s="10">
        <f>Table1[[#This Row],[ID ROW]]-((Table1[[#This Row],[SECT]]-1)*12)</f>
        <v>2</v>
      </c>
    </row>
    <row r="731" spans="1:16" ht="15.75" customHeight="1" x14ac:dyDescent="0.25">
      <c r="A731" s="6" t="s">
        <v>2623</v>
      </c>
      <c r="B731" s="6" t="s">
        <v>2624</v>
      </c>
      <c r="C731" s="6" t="s">
        <v>2625</v>
      </c>
      <c r="D731" s="6" t="s">
        <v>2626</v>
      </c>
      <c r="F731" s="7" t="s">
        <v>2627</v>
      </c>
      <c r="G731" s="8">
        <v>208</v>
      </c>
      <c r="H731" s="21" t="s">
        <v>1898</v>
      </c>
      <c r="I731" s="9">
        <f t="shared" si="46"/>
        <v>38</v>
      </c>
      <c r="J731" s="9">
        <f t="shared" ref="J731:J794" si="49">IF(MOD(G731-1,11)&lt;6,(MOD(G731-1,11)+1-(5*FLOOR(MOD(G731-1,11),6))),(MOD(G731-1,11))-5)</f>
        <v>4</v>
      </c>
      <c r="K731" s="10" t="str">
        <f t="shared" si="48"/>
        <v>S2R38B4</v>
      </c>
      <c r="L731" s="10" t="s">
        <v>1899</v>
      </c>
      <c r="M731" s="10">
        <f>IF(Table1[[#This Row],[ID ROW]]&lt;=12,Table1[[#This Row],[ID ROW]],Table1[[#This Row],[ID ROW]]+INT((Table1[[#This Row],[ID ROW]]-1)/12)*2)</f>
        <v>44</v>
      </c>
      <c r="N731" s="10" t="str">
        <f t="shared" si="47"/>
        <v>LSR44B4</v>
      </c>
      <c r="O731" s="10">
        <f>IF(Table1[[#This Row],[ID ROW]]&lt;=12,1,INT((Table1[[#This Row],[ID ROW]]-1)/12)+1)</f>
        <v>4</v>
      </c>
      <c r="P731" s="10">
        <f>Table1[[#This Row],[ID ROW]]-((Table1[[#This Row],[SECT]]-1)*12)</f>
        <v>2</v>
      </c>
    </row>
    <row r="732" spans="1:16" ht="15.75" customHeight="1" x14ac:dyDescent="0.3">
      <c r="A732" s="6" t="s">
        <v>2628</v>
      </c>
      <c r="B732" s="6" t="s">
        <v>2629</v>
      </c>
      <c r="C732" s="6" t="s">
        <v>391</v>
      </c>
      <c r="D732" s="6" t="s">
        <v>1379</v>
      </c>
      <c r="F732" s="13" t="s">
        <v>2630</v>
      </c>
      <c r="G732" s="8">
        <v>209</v>
      </c>
      <c r="H732" s="21" t="s">
        <v>1898</v>
      </c>
      <c r="I732" s="9">
        <f t="shared" ref="I732:I795" si="50">INT((G732-1)/11)*2 + IF(MOD(G732-1, 11) &lt; 6, 1, 2)</f>
        <v>38</v>
      </c>
      <c r="J732" s="9">
        <f t="shared" si="49"/>
        <v>5</v>
      </c>
      <c r="K732" s="10" t="str">
        <f t="shared" si="48"/>
        <v>S2R38B5</v>
      </c>
      <c r="L732" s="10" t="s">
        <v>1899</v>
      </c>
      <c r="M732" s="10">
        <f>IF(Table1[[#This Row],[ID ROW]]&lt;=12,Table1[[#This Row],[ID ROW]],Table1[[#This Row],[ID ROW]]+INT((Table1[[#This Row],[ID ROW]]-1)/12)*2)</f>
        <v>44</v>
      </c>
      <c r="N732" s="10" t="str">
        <f t="shared" ref="N732:N795" si="51">L732&amp;"R"&amp;M732&amp;"B"&amp;J732</f>
        <v>LSR44B5</v>
      </c>
      <c r="O732" s="10">
        <f>IF(Table1[[#This Row],[ID ROW]]&lt;=12,1,INT((Table1[[#This Row],[ID ROW]]-1)/12)+1)</f>
        <v>4</v>
      </c>
      <c r="P732" s="10">
        <f>Table1[[#This Row],[ID ROW]]-((Table1[[#This Row],[SECT]]-1)*12)</f>
        <v>2</v>
      </c>
    </row>
    <row r="733" spans="1:16" ht="15.75" customHeight="1" x14ac:dyDescent="0.25">
      <c r="A733" s="6" t="s">
        <v>2631</v>
      </c>
      <c r="C733" s="6" t="s">
        <v>105</v>
      </c>
      <c r="D733" s="6" t="s">
        <v>234</v>
      </c>
      <c r="F733" s="7" t="s">
        <v>2632</v>
      </c>
      <c r="G733" s="8">
        <v>210</v>
      </c>
      <c r="H733" s="21" t="s">
        <v>1898</v>
      </c>
      <c r="I733" s="9">
        <f t="shared" si="50"/>
        <v>39</v>
      </c>
      <c r="J733" s="9">
        <f t="shared" si="49"/>
        <v>1</v>
      </c>
      <c r="K733" s="10" t="str">
        <f t="shared" si="48"/>
        <v>S2R39B1</v>
      </c>
      <c r="L733" s="10" t="s">
        <v>1899</v>
      </c>
      <c r="M733" s="10">
        <f>IF(Table1[[#This Row],[ID ROW]]&lt;=12,Table1[[#This Row],[ID ROW]],Table1[[#This Row],[ID ROW]]+INT((Table1[[#This Row],[ID ROW]]-1)/12)*2)</f>
        <v>45</v>
      </c>
      <c r="N733" s="10" t="str">
        <f t="shared" si="51"/>
        <v>LSR45B1</v>
      </c>
      <c r="O733" s="10">
        <f>IF(Table1[[#This Row],[ID ROW]]&lt;=12,1,INT((Table1[[#This Row],[ID ROW]]-1)/12)+1)</f>
        <v>4</v>
      </c>
      <c r="P733" s="10">
        <f>Table1[[#This Row],[ID ROW]]-((Table1[[#This Row],[SECT]]-1)*12)</f>
        <v>3</v>
      </c>
    </row>
    <row r="734" spans="1:16" ht="15.75" customHeight="1" x14ac:dyDescent="0.3">
      <c r="A734" s="6" t="s">
        <v>143</v>
      </c>
      <c r="B734" s="6" t="s">
        <v>2633</v>
      </c>
      <c r="C734" s="6" t="s">
        <v>2634</v>
      </c>
      <c r="D734" s="6" t="s">
        <v>2635</v>
      </c>
      <c r="F734" s="13" t="s">
        <v>2636</v>
      </c>
      <c r="G734" s="8">
        <v>211</v>
      </c>
      <c r="H734" s="21" t="s">
        <v>1898</v>
      </c>
      <c r="I734" s="9">
        <f t="shared" si="50"/>
        <v>39</v>
      </c>
      <c r="J734" s="9">
        <f t="shared" si="49"/>
        <v>2</v>
      </c>
      <c r="K734" s="10" t="str">
        <f t="shared" si="48"/>
        <v>S2R39B2</v>
      </c>
      <c r="L734" s="10" t="s">
        <v>1899</v>
      </c>
      <c r="M734" s="10">
        <f>IF(Table1[[#This Row],[ID ROW]]&lt;=12,Table1[[#This Row],[ID ROW]],Table1[[#This Row],[ID ROW]]+INT((Table1[[#This Row],[ID ROW]]-1)/12)*2)</f>
        <v>45</v>
      </c>
      <c r="N734" s="10" t="str">
        <f t="shared" si="51"/>
        <v>LSR45B2</v>
      </c>
      <c r="O734" s="10">
        <f>IF(Table1[[#This Row],[ID ROW]]&lt;=12,1,INT((Table1[[#This Row],[ID ROW]]-1)/12)+1)</f>
        <v>4</v>
      </c>
      <c r="P734" s="10">
        <f>Table1[[#This Row],[ID ROW]]-((Table1[[#This Row],[SECT]]-1)*12)</f>
        <v>3</v>
      </c>
    </row>
    <row r="735" spans="1:16" ht="15.75" customHeight="1" x14ac:dyDescent="0.25">
      <c r="A735" s="6" t="s">
        <v>2637</v>
      </c>
      <c r="B735" s="6" t="s">
        <v>1177</v>
      </c>
      <c r="C735" s="6" t="s">
        <v>2009</v>
      </c>
      <c r="F735" s="7" t="s">
        <v>2638</v>
      </c>
      <c r="G735" s="8">
        <v>212</v>
      </c>
      <c r="H735" s="21" t="s">
        <v>1898</v>
      </c>
      <c r="I735" s="9">
        <f t="shared" si="50"/>
        <v>39</v>
      </c>
      <c r="J735" s="9">
        <f t="shared" si="49"/>
        <v>3</v>
      </c>
      <c r="K735" s="10" t="str">
        <f t="shared" si="48"/>
        <v>S2R39B3</v>
      </c>
      <c r="L735" s="10" t="s">
        <v>1899</v>
      </c>
      <c r="M735" s="10">
        <f>IF(Table1[[#This Row],[ID ROW]]&lt;=12,Table1[[#This Row],[ID ROW]],Table1[[#This Row],[ID ROW]]+INT((Table1[[#This Row],[ID ROW]]-1)/12)*2)</f>
        <v>45</v>
      </c>
      <c r="N735" s="10" t="str">
        <f t="shared" si="51"/>
        <v>LSR45B3</v>
      </c>
      <c r="O735" s="10">
        <f>IF(Table1[[#This Row],[ID ROW]]&lt;=12,1,INT((Table1[[#This Row],[ID ROW]]-1)/12)+1)</f>
        <v>4</v>
      </c>
      <c r="P735" s="10">
        <f>Table1[[#This Row],[ID ROW]]-((Table1[[#This Row],[SECT]]-1)*12)</f>
        <v>3</v>
      </c>
    </row>
    <row r="736" spans="1:16" ht="15.75" customHeight="1" x14ac:dyDescent="0.3">
      <c r="A736" s="6" t="s">
        <v>380</v>
      </c>
      <c r="C736" s="6" t="s">
        <v>991</v>
      </c>
      <c r="D736" s="6" t="s">
        <v>2639</v>
      </c>
      <c r="F736" s="13" t="s">
        <v>2640</v>
      </c>
      <c r="G736" s="8">
        <v>213</v>
      </c>
      <c r="H736" s="21" t="s">
        <v>1898</v>
      </c>
      <c r="I736" s="9">
        <f t="shared" si="50"/>
        <v>39</v>
      </c>
      <c r="J736" s="9">
        <f t="shared" si="49"/>
        <v>4</v>
      </c>
      <c r="K736" s="10" t="str">
        <f t="shared" si="48"/>
        <v>S2R39B4</v>
      </c>
      <c r="L736" s="10" t="s">
        <v>1899</v>
      </c>
      <c r="M736" s="10">
        <f>IF(Table1[[#This Row],[ID ROW]]&lt;=12,Table1[[#This Row],[ID ROW]],Table1[[#This Row],[ID ROW]]+INT((Table1[[#This Row],[ID ROW]]-1)/12)*2)</f>
        <v>45</v>
      </c>
      <c r="N736" s="10" t="str">
        <f t="shared" si="51"/>
        <v>LSR45B4</v>
      </c>
      <c r="O736" s="10">
        <f>IF(Table1[[#This Row],[ID ROW]]&lt;=12,1,INT((Table1[[#This Row],[ID ROW]]-1)/12)+1)</f>
        <v>4</v>
      </c>
      <c r="P736" s="10">
        <f>Table1[[#This Row],[ID ROW]]-((Table1[[#This Row],[SECT]]-1)*12)</f>
        <v>3</v>
      </c>
    </row>
    <row r="737" spans="1:16" ht="15.75" customHeight="1" x14ac:dyDescent="0.25">
      <c r="A737" s="6" t="s">
        <v>2641</v>
      </c>
      <c r="B737" s="6" t="s">
        <v>552</v>
      </c>
      <c r="C737" s="6" t="s">
        <v>250</v>
      </c>
      <c r="F737" s="7" t="s">
        <v>2642</v>
      </c>
      <c r="G737" s="8">
        <v>214</v>
      </c>
      <c r="H737" s="21" t="s">
        <v>1898</v>
      </c>
      <c r="I737" s="9">
        <f t="shared" si="50"/>
        <v>39</v>
      </c>
      <c r="J737" s="9">
        <f t="shared" si="49"/>
        <v>5</v>
      </c>
      <c r="K737" s="10" t="str">
        <f t="shared" si="48"/>
        <v>S2R39B5</v>
      </c>
      <c r="L737" s="10" t="s">
        <v>1899</v>
      </c>
      <c r="M737" s="10">
        <f>IF(Table1[[#This Row],[ID ROW]]&lt;=12,Table1[[#This Row],[ID ROW]],Table1[[#This Row],[ID ROW]]+INT((Table1[[#This Row],[ID ROW]]-1)/12)*2)</f>
        <v>45</v>
      </c>
      <c r="N737" s="10" t="str">
        <f t="shared" si="51"/>
        <v>LSR45B5</v>
      </c>
      <c r="O737" s="10">
        <f>IF(Table1[[#This Row],[ID ROW]]&lt;=12,1,INT((Table1[[#This Row],[ID ROW]]-1)/12)+1)</f>
        <v>4</v>
      </c>
      <c r="P737" s="10">
        <f>Table1[[#This Row],[ID ROW]]-((Table1[[#This Row],[SECT]]-1)*12)</f>
        <v>3</v>
      </c>
    </row>
    <row r="738" spans="1:16" ht="15.75" customHeight="1" x14ac:dyDescent="0.3">
      <c r="A738" s="6" t="s">
        <v>2643</v>
      </c>
      <c r="B738" s="6" t="s">
        <v>2644</v>
      </c>
      <c r="C738" s="6" t="s">
        <v>2645</v>
      </c>
      <c r="D738" s="6" t="s">
        <v>2646</v>
      </c>
      <c r="F738" s="13" t="s">
        <v>2647</v>
      </c>
      <c r="G738" s="8">
        <v>215</v>
      </c>
      <c r="H738" s="21" t="s">
        <v>1898</v>
      </c>
      <c r="I738" s="9">
        <f t="shared" si="50"/>
        <v>39</v>
      </c>
      <c r="J738" s="9">
        <f t="shared" si="49"/>
        <v>6</v>
      </c>
      <c r="K738" s="10" t="str">
        <f t="shared" si="48"/>
        <v>S2R39B6</v>
      </c>
      <c r="L738" s="10" t="s">
        <v>1899</v>
      </c>
      <c r="M738" s="10">
        <f>IF(Table1[[#This Row],[ID ROW]]&lt;=12,Table1[[#This Row],[ID ROW]],Table1[[#This Row],[ID ROW]]+INT((Table1[[#This Row],[ID ROW]]-1)/12)*2)</f>
        <v>45</v>
      </c>
      <c r="N738" s="10" t="str">
        <f t="shared" si="51"/>
        <v>LSR45B6</v>
      </c>
      <c r="O738" s="10">
        <f>IF(Table1[[#This Row],[ID ROW]]&lt;=12,1,INT((Table1[[#This Row],[ID ROW]]-1)/12)+1)</f>
        <v>4</v>
      </c>
      <c r="P738" s="10">
        <f>Table1[[#This Row],[ID ROW]]-((Table1[[#This Row],[SECT]]-1)*12)</f>
        <v>3</v>
      </c>
    </row>
    <row r="739" spans="1:16" ht="15.75" customHeight="1" x14ac:dyDescent="0.25">
      <c r="A739" s="6" t="s">
        <v>2648</v>
      </c>
      <c r="B739" s="6" t="s">
        <v>2649</v>
      </c>
      <c r="C739" s="6" t="s">
        <v>2650</v>
      </c>
      <c r="F739" s="7" t="s">
        <v>2651</v>
      </c>
      <c r="G739" s="8">
        <v>216</v>
      </c>
      <c r="H739" s="21" t="s">
        <v>1898</v>
      </c>
      <c r="I739" s="9">
        <f t="shared" si="50"/>
        <v>40</v>
      </c>
      <c r="J739" s="9">
        <f t="shared" si="49"/>
        <v>1</v>
      </c>
      <c r="K739" s="10" t="str">
        <f t="shared" si="48"/>
        <v>S2R40B1</v>
      </c>
      <c r="L739" s="10" t="s">
        <v>1899</v>
      </c>
      <c r="M739" s="10">
        <f>IF(Table1[[#This Row],[ID ROW]]&lt;=12,Table1[[#This Row],[ID ROW]],Table1[[#This Row],[ID ROW]]+INT((Table1[[#This Row],[ID ROW]]-1)/12)*2)</f>
        <v>46</v>
      </c>
      <c r="N739" s="10" t="str">
        <f t="shared" si="51"/>
        <v>LSR46B1</v>
      </c>
      <c r="O739" s="10">
        <f>IF(Table1[[#This Row],[ID ROW]]&lt;=12,1,INT((Table1[[#This Row],[ID ROW]]-1)/12)+1)</f>
        <v>4</v>
      </c>
      <c r="P739" s="10">
        <f>Table1[[#This Row],[ID ROW]]-((Table1[[#This Row],[SECT]]-1)*12)</f>
        <v>4</v>
      </c>
    </row>
    <row r="740" spans="1:16" ht="15.75" customHeight="1" x14ac:dyDescent="0.3">
      <c r="A740" s="6" t="s">
        <v>2652</v>
      </c>
      <c r="B740" s="6" t="s">
        <v>2653</v>
      </c>
      <c r="C740" s="6" t="s">
        <v>2654</v>
      </c>
      <c r="F740" s="13" t="s">
        <v>2655</v>
      </c>
      <c r="G740" s="8">
        <v>217</v>
      </c>
      <c r="H740" s="21" t="s">
        <v>1898</v>
      </c>
      <c r="I740" s="9">
        <f t="shared" si="50"/>
        <v>40</v>
      </c>
      <c r="J740" s="9">
        <f t="shared" si="49"/>
        <v>2</v>
      </c>
      <c r="K740" s="10" t="str">
        <f t="shared" si="48"/>
        <v>S2R40B2</v>
      </c>
      <c r="L740" s="10" t="s">
        <v>1899</v>
      </c>
      <c r="M740" s="10">
        <f>IF(Table1[[#This Row],[ID ROW]]&lt;=12,Table1[[#This Row],[ID ROW]],Table1[[#This Row],[ID ROW]]+INT((Table1[[#This Row],[ID ROW]]-1)/12)*2)</f>
        <v>46</v>
      </c>
      <c r="N740" s="10" t="str">
        <f t="shared" si="51"/>
        <v>LSR46B2</v>
      </c>
      <c r="O740" s="10">
        <f>IF(Table1[[#This Row],[ID ROW]]&lt;=12,1,INT((Table1[[#This Row],[ID ROW]]-1)/12)+1)</f>
        <v>4</v>
      </c>
      <c r="P740" s="10">
        <f>Table1[[#This Row],[ID ROW]]-((Table1[[#This Row],[SECT]]-1)*12)</f>
        <v>4</v>
      </c>
    </row>
    <row r="741" spans="1:16" ht="15.75" customHeight="1" x14ac:dyDescent="0.25">
      <c r="A741" s="6" t="s">
        <v>2656</v>
      </c>
      <c r="B741" s="6" t="s">
        <v>1631</v>
      </c>
      <c r="C741" s="6" t="s">
        <v>339</v>
      </c>
      <c r="D741" s="6" t="s">
        <v>2657</v>
      </c>
      <c r="F741" s="7" t="s">
        <v>2658</v>
      </c>
      <c r="G741" s="8">
        <v>218</v>
      </c>
      <c r="H741" s="21" t="s">
        <v>1898</v>
      </c>
      <c r="I741" s="9">
        <f t="shared" si="50"/>
        <v>40</v>
      </c>
      <c r="J741" s="9">
        <f t="shared" si="49"/>
        <v>3</v>
      </c>
      <c r="K741" s="10" t="str">
        <f t="shared" si="48"/>
        <v>S2R40B3</v>
      </c>
      <c r="L741" s="10" t="s">
        <v>1899</v>
      </c>
      <c r="M741" s="10">
        <f>IF(Table1[[#This Row],[ID ROW]]&lt;=12,Table1[[#This Row],[ID ROW]],Table1[[#This Row],[ID ROW]]+INT((Table1[[#This Row],[ID ROW]]-1)/12)*2)</f>
        <v>46</v>
      </c>
      <c r="N741" s="10" t="str">
        <f t="shared" si="51"/>
        <v>LSR46B3</v>
      </c>
      <c r="O741" s="10">
        <f>IF(Table1[[#This Row],[ID ROW]]&lt;=12,1,INT((Table1[[#This Row],[ID ROW]]-1)/12)+1)</f>
        <v>4</v>
      </c>
      <c r="P741" s="10">
        <f>Table1[[#This Row],[ID ROW]]-((Table1[[#This Row],[SECT]]-1)*12)</f>
        <v>4</v>
      </c>
    </row>
    <row r="742" spans="1:16" ht="15.75" customHeight="1" x14ac:dyDescent="0.3">
      <c r="A742" s="6" t="s">
        <v>2659</v>
      </c>
      <c r="B742" s="6" t="s">
        <v>136</v>
      </c>
      <c r="C742" s="6" t="s">
        <v>194</v>
      </c>
      <c r="D742" s="6" t="s">
        <v>195</v>
      </c>
      <c r="F742" s="13" t="s">
        <v>2658</v>
      </c>
      <c r="G742" s="8">
        <v>219</v>
      </c>
      <c r="H742" s="21" t="s">
        <v>1898</v>
      </c>
      <c r="I742" s="9">
        <f t="shared" si="50"/>
        <v>40</v>
      </c>
      <c r="J742" s="9">
        <f t="shared" si="49"/>
        <v>4</v>
      </c>
      <c r="K742" s="10" t="str">
        <f t="shared" si="48"/>
        <v>S2R40B4</v>
      </c>
      <c r="L742" s="10" t="s">
        <v>1899</v>
      </c>
      <c r="M742" s="10">
        <f>IF(Table1[[#This Row],[ID ROW]]&lt;=12,Table1[[#This Row],[ID ROW]],Table1[[#This Row],[ID ROW]]+INT((Table1[[#This Row],[ID ROW]]-1)/12)*2)</f>
        <v>46</v>
      </c>
      <c r="N742" s="10" t="str">
        <f t="shared" si="51"/>
        <v>LSR46B4</v>
      </c>
      <c r="O742" s="10">
        <f>IF(Table1[[#This Row],[ID ROW]]&lt;=12,1,INT((Table1[[#This Row],[ID ROW]]-1)/12)+1)</f>
        <v>4</v>
      </c>
      <c r="P742" s="10">
        <f>Table1[[#This Row],[ID ROW]]-((Table1[[#This Row],[SECT]]-1)*12)</f>
        <v>4</v>
      </c>
    </row>
    <row r="743" spans="1:16" ht="15.75" customHeight="1" x14ac:dyDescent="0.25">
      <c r="A743" s="6" t="s">
        <v>2660</v>
      </c>
      <c r="B743" s="6" t="s">
        <v>2661</v>
      </c>
      <c r="C743" s="6" t="s">
        <v>194</v>
      </c>
      <c r="D743" s="6" t="s">
        <v>195</v>
      </c>
      <c r="F743" s="7" t="s">
        <v>2658</v>
      </c>
      <c r="G743" s="8">
        <v>220</v>
      </c>
      <c r="H743" s="21" t="s">
        <v>1898</v>
      </c>
      <c r="I743" s="9">
        <f t="shared" si="50"/>
        <v>40</v>
      </c>
      <c r="J743" s="9">
        <f t="shared" si="49"/>
        <v>5</v>
      </c>
      <c r="K743" s="10" t="str">
        <f t="shared" si="48"/>
        <v>S2R40B5</v>
      </c>
      <c r="L743" s="10" t="s">
        <v>1899</v>
      </c>
      <c r="M743" s="10">
        <f>IF(Table1[[#This Row],[ID ROW]]&lt;=12,Table1[[#This Row],[ID ROW]],Table1[[#This Row],[ID ROW]]+INT((Table1[[#This Row],[ID ROW]]-1)/12)*2)</f>
        <v>46</v>
      </c>
      <c r="N743" s="10" t="str">
        <f t="shared" si="51"/>
        <v>LSR46B5</v>
      </c>
      <c r="O743" s="10">
        <f>IF(Table1[[#This Row],[ID ROW]]&lt;=12,1,INT((Table1[[#This Row],[ID ROW]]-1)/12)+1)</f>
        <v>4</v>
      </c>
      <c r="P743" s="10">
        <f>Table1[[#This Row],[ID ROW]]-((Table1[[#This Row],[SECT]]-1)*12)</f>
        <v>4</v>
      </c>
    </row>
    <row r="744" spans="1:16" ht="15.75" customHeight="1" x14ac:dyDescent="0.3">
      <c r="A744" s="6" t="s">
        <v>2662</v>
      </c>
      <c r="B744" s="6" t="s">
        <v>2663</v>
      </c>
      <c r="D744" s="6" t="s">
        <v>338</v>
      </c>
      <c r="F744" s="13" t="s">
        <v>2664</v>
      </c>
      <c r="G744" s="8">
        <v>221</v>
      </c>
      <c r="H744" s="21" t="s">
        <v>1898</v>
      </c>
      <c r="I744" s="9">
        <f t="shared" si="50"/>
        <v>41</v>
      </c>
      <c r="J744" s="9">
        <f t="shared" si="49"/>
        <v>1</v>
      </c>
      <c r="K744" s="10" t="str">
        <f t="shared" si="48"/>
        <v>S2R41B1</v>
      </c>
      <c r="L744" s="10" t="s">
        <v>1899</v>
      </c>
      <c r="M744" s="10">
        <f>IF(Table1[[#This Row],[ID ROW]]&lt;=12,Table1[[#This Row],[ID ROW]],Table1[[#This Row],[ID ROW]]+INT((Table1[[#This Row],[ID ROW]]-1)/12)*2)</f>
        <v>47</v>
      </c>
      <c r="N744" s="10" t="str">
        <f t="shared" si="51"/>
        <v>LSR47B1</v>
      </c>
      <c r="O744" s="10">
        <f>IF(Table1[[#This Row],[ID ROW]]&lt;=12,1,INT((Table1[[#This Row],[ID ROW]]-1)/12)+1)</f>
        <v>4</v>
      </c>
      <c r="P744" s="10">
        <f>Table1[[#This Row],[ID ROW]]-((Table1[[#This Row],[SECT]]-1)*12)</f>
        <v>5</v>
      </c>
    </row>
    <row r="745" spans="1:16" ht="15.75" customHeight="1" x14ac:dyDescent="0.25">
      <c r="A745" s="6" t="s">
        <v>2665</v>
      </c>
      <c r="B745" s="6" t="s">
        <v>350</v>
      </c>
      <c r="C745" s="6" t="s">
        <v>2666</v>
      </c>
      <c r="D745" s="6" t="s">
        <v>2667</v>
      </c>
      <c r="F745" s="7" t="s">
        <v>1318</v>
      </c>
      <c r="G745" s="8">
        <v>222</v>
      </c>
      <c r="H745" s="21" t="s">
        <v>1898</v>
      </c>
      <c r="I745" s="9">
        <f t="shared" si="50"/>
        <v>41</v>
      </c>
      <c r="J745" s="9">
        <f t="shared" si="49"/>
        <v>2</v>
      </c>
      <c r="K745" s="10" t="str">
        <f t="shared" si="48"/>
        <v>S2R41B2</v>
      </c>
      <c r="L745" s="10" t="s">
        <v>1899</v>
      </c>
      <c r="M745" s="10">
        <f>IF(Table1[[#This Row],[ID ROW]]&lt;=12,Table1[[#This Row],[ID ROW]],Table1[[#This Row],[ID ROW]]+INT((Table1[[#This Row],[ID ROW]]-1)/12)*2)</f>
        <v>47</v>
      </c>
      <c r="N745" s="10" t="str">
        <f t="shared" si="51"/>
        <v>LSR47B2</v>
      </c>
      <c r="O745" s="10">
        <f>IF(Table1[[#This Row],[ID ROW]]&lt;=12,1,INT((Table1[[#This Row],[ID ROW]]-1)/12)+1)</f>
        <v>4</v>
      </c>
      <c r="P745" s="10">
        <f>Table1[[#This Row],[ID ROW]]-((Table1[[#This Row],[SECT]]-1)*12)</f>
        <v>5</v>
      </c>
    </row>
    <row r="746" spans="1:16" ht="15.75" customHeight="1" x14ac:dyDescent="0.3">
      <c r="A746" s="6" t="s">
        <v>2668</v>
      </c>
      <c r="B746" s="6" t="s">
        <v>2669</v>
      </c>
      <c r="C746" s="6" t="s">
        <v>2670</v>
      </c>
      <c r="D746" s="6" t="s">
        <v>1379</v>
      </c>
      <c r="F746" s="13" t="s">
        <v>2671</v>
      </c>
      <c r="G746" s="8">
        <v>223</v>
      </c>
      <c r="H746" s="21" t="s">
        <v>1898</v>
      </c>
      <c r="I746" s="9">
        <f t="shared" si="50"/>
        <v>41</v>
      </c>
      <c r="J746" s="9">
        <f t="shared" si="49"/>
        <v>3</v>
      </c>
      <c r="K746" s="10" t="str">
        <f t="shared" si="48"/>
        <v>S2R41B3</v>
      </c>
      <c r="L746" s="10" t="s">
        <v>1899</v>
      </c>
      <c r="M746" s="10">
        <f>IF(Table1[[#This Row],[ID ROW]]&lt;=12,Table1[[#This Row],[ID ROW]],Table1[[#This Row],[ID ROW]]+INT((Table1[[#This Row],[ID ROW]]-1)/12)*2)</f>
        <v>47</v>
      </c>
      <c r="N746" s="10" t="str">
        <f t="shared" si="51"/>
        <v>LSR47B3</v>
      </c>
      <c r="O746" s="10">
        <f>IF(Table1[[#This Row],[ID ROW]]&lt;=12,1,INT((Table1[[#This Row],[ID ROW]]-1)/12)+1)</f>
        <v>4</v>
      </c>
      <c r="P746" s="10">
        <f>Table1[[#This Row],[ID ROW]]-((Table1[[#This Row],[SECT]]-1)*12)</f>
        <v>5</v>
      </c>
    </row>
    <row r="747" spans="1:16" ht="15.75" customHeight="1" x14ac:dyDescent="0.25">
      <c r="A747" s="6" t="s">
        <v>2672</v>
      </c>
      <c r="B747" s="6" t="s">
        <v>234</v>
      </c>
      <c r="C747" s="6" t="s">
        <v>105</v>
      </c>
      <c r="F747" s="7" t="s">
        <v>2673</v>
      </c>
      <c r="G747" s="8">
        <v>224</v>
      </c>
      <c r="H747" s="21" t="s">
        <v>1898</v>
      </c>
      <c r="I747" s="9">
        <f t="shared" si="50"/>
        <v>41</v>
      </c>
      <c r="J747" s="9">
        <f t="shared" si="49"/>
        <v>4</v>
      </c>
      <c r="K747" s="10" t="str">
        <f t="shared" si="48"/>
        <v>S2R41B4</v>
      </c>
      <c r="L747" s="10" t="s">
        <v>1899</v>
      </c>
      <c r="M747" s="10">
        <f>IF(Table1[[#This Row],[ID ROW]]&lt;=12,Table1[[#This Row],[ID ROW]],Table1[[#This Row],[ID ROW]]+INT((Table1[[#This Row],[ID ROW]]-1)/12)*2)</f>
        <v>47</v>
      </c>
      <c r="N747" s="10" t="str">
        <f t="shared" si="51"/>
        <v>LSR47B4</v>
      </c>
      <c r="O747" s="10">
        <f>IF(Table1[[#This Row],[ID ROW]]&lt;=12,1,INT((Table1[[#This Row],[ID ROW]]-1)/12)+1)</f>
        <v>4</v>
      </c>
      <c r="P747" s="10">
        <f>Table1[[#This Row],[ID ROW]]-((Table1[[#This Row],[SECT]]-1)*12)</f>
        <v>5</v>
      </c>
    </row>
    <row r="748" spans="1:16" ht="15.75" customHeight="1" x14ac:dyDescent="0.3">
      <c r="A748" s="6" t="s">
        <v>2674</v>
      </c>
      <c r="B748" s="6" t="s">
        <v>2675</v>
      </c>
      <c r="C748" s="6" t="s">
        <v>2676</v>
      </c>
      <c r="F748" s="13" t="s">
        <v>2677</v>
      </c>
      <c r="G748" s="8">
        <v>225</v>
      </c>
      <c r="H748" s="21" t="s">
        <v>1898</v>
      </c>
      <c r="I748" s="9">
        <f t="shared" si="50"/>
        <v>41</v>
      </c>
      <c r="J748" s="9">
        <f t="shared" si="49"/>
        <v>5</v>
      </c>
      <c r="K748" s="10" t="str">
        <f t="shared" si="48"/>
        <v>S2R41B5</v>
      </c>
      <c r="L748" s="10" t="s">
        <v>1899</v>
      </c>
      <c r="M748" s="10">
        <f>IF(Table1[[#This Row],[ID ROW]]&lt;=12,Table1[[#This Row],[ID ROW]],Table1[[#This Row],[ID ROW]]+INT((Table1[[#This Row],[ID ROW]]-1)/12)*2)</f>
        <v>47</v>
      </c>
      <c r="N748" s="10" t="str">
        <f t="shared" si="51"/>
        <v>LSR47B5</v>
      </c>
      <c r="O748" s="10">
        <f>IF(Table1[[#This Row],[ID ROW]]&lt;=12,1,INT((Table1[[#This Row],[ID ROW]]-1)/12)+1)</f>
        <v>4</v>
      </c>
      <c r="P748" s="10">
        <f>Table1[[#This Row],[ID ROW]]-((Table1[[#This Row],[SECT]]-1)*12)</f>
        <v>5</v>
      </c>
    </row>
    <row r="749" spans="1:16" ht="15.75" customHeight="1" x14ac:dyDescent="0.25">
      <c r="A749" s="6" t="s">
        <v>2678</v>
      </c>
      <c r="B749" s="6" t="s">
        <v>616</v>
      </c>
      <c r="C749" s="6" t="s">
        <v>991</v>
      </c>
      <c r="D749" s="6" t="s">
        <v>2679</v>
      </c>
      <c r="F749" s="7" t="s">
        <v>2680</v>
      </c>
      <c r="G749" s="8">
        <v>226</v>
      </c>
      <c r="H749" s="21" t="s">
        <v>1898</v>
      </c>
      <c r="I749" s="9">
        <f t="shared" si="50"/>
        <v>41</v>
      </c>
      <c r="J749" s="9">
        <f t="shared" si="49"/>
        <v>6</v>
      </c>
      <c r="K749" s="10" t="str">
        <f t="shared" si="48"/>
        <v>S2R41B6</v>
      </c>
      <c r="L749" s="10" t="s">
        <v>1899</v>
      </c>
      <c r="M749" s="10">
        <f>IF(Table1[[#This Row],[ID ROW]]&lt;=12,Table1[[#This Row],[ID ROW]],Table1[[#This Row],[ID ROW]]+INT((Table1[[#This Row],[ID ROW]]-1)/12)*2)</f>
        <v>47</v>
      </c>
      <c r="N749" s="10" t="str">
        <f t="shared" si="51"/>
        <v>LSR47B6</v>
      </c>
      <c r="O749" s="10">
        <f>IF(Table1[[#This Row],[ID ROW]]&lt;=12,1,INT((Table1[[#This Row],[ID ROW]]-1)/12)+1)</f>
        <v>4</v>
      </c>
      <c r="P749" s="10">
        <f>Table1[[#This Row],[ID ROW]]-((Table1[[#This Row],[SECT]]-1)*12)</f>
        <v>5</v>
      </c>
    </row>
    <row r="750" spans="1:16" ht="15.75" customHeight="1" x14ac:dyDescent="0.3">
      <c r="A750" s="6" t="s">
        <v>2681</v>
      </c>
      <c r="B750" s="6" t="s">
        <v>962</v>
      </c>
      <c r="C750" s="6" t="s">
        <v>2682</v>
      </c>
      <c r="F750" s="13" t="s">
        <v>2683</v>
      </c>
      <c r="G750" s="8">
        <v>227</v>
      </c>
      <c r="H750" s="21" t="s">
        <v>1898</v>
      </c>
      <c r="I750" s="9">
        <f t="shared" si="50"/>
        <v>42</v>
      </c>
      <c r="J750" s="9">
        <f t="shared" si="49"/>
        <v>1</v>
      </c>
      <c r="K750" s="10" t="str">
        <f t="shared" si="48"/>
        <v>S2R42B1</v>
      </c>
      <c r="L750" s="10" t="s">
        <v>1899</v>
      </c>
      <c r="M750" s="10">
        <f>IF(Table1[[#This Row],[ID ROW]]&lt;=12,Table1[[#This Row],[ID ROW]],Table1[[#This Row],[ID ROW]]+INT((Table1[[#This Row],[ID ROW]]-1)/12)*2)</f>
        <v>48</v>
      </c>
      <c r="N750" s="10" t="str">
        <f t="shared" si="51"/>
        <v>LSR48B1</v>
      </c>
      <c r="O750" s="10">
        <f>IF(Table1[[#This Row],[ID ROW]]&lt;=12,1,INT((Table1[[#This Row],[ID ROW]]-1)/12)+1)</f>
        <v>4</v>
      </c>
      <c r="P750" s="10">
        <f>Table1[[#This Row],[ID ROW]]-((Table1[[#This Row],[SECT]]-1)*12)</f>
        <v>6</v>
      </c>
    </row>
    <row r="751" spans="1:16" ht="15.75" customHeight="1" x14ac:dyDescent="0.25">
      <c r="A751" s="6" t="s">
        <v>2684</v>
      </c>
      <c r="B751" s="6" t="s">
        <v>2685</v>
      </c>
      <c r="C751" s="6" t="s">
        <v>194</v>
      </c>
      <c r="D751" s="6" t="s">
        <v>195</v>
      </c>
      <c r="F751" s="7" t="s">
        <v>2683</v>
      </c>
      <c r="G751" s="8">
        <v>228</v>
      </c>
      <c r="H751" s="21" t="s">
        <v>1898</v>
      </c>
      <c r="I751" s="9">
        <f t="shared" si="50"/>
        <v>42</v>
      </c>
      <c r="J751" s="9">
        <f t="shared" si="49"/>
        <v>2</v>
      </c>
      <c r="K751" s="10" t="str">
        <f t="shared" si="48"/>
        <v>S2R42B2</v>
      </c>
      <c r="L751" s="10" t="s">
        <v>1899</v>
      </c>
      <c r="M751" s="10">
        <f>IF(Table1[[#This Row],[ID ROW]]&lt;=12,Table1[[#This Row],[ID ROW]],Table1[[#This Row],[ID ROW]]+INT((Table1[[#This Row],[ID ROW]]-1)/12)*2)</f>
        <v>48</v>
      </c>
      <c r="N751" s="10" t="str">
        <f t="shared" si="51"/>
        <v>LSR48B2</v>
      </c>
      <c r="O751" s="10">
        <f>IF(Table1[[#This Row],[ID ROW]]&lt;=12,1,INT((Table1[[#This Row],[ID ROW]]-1)/12)+1)</f>
        <v>4</v>
      </c>
      <c r="P751" s="10">
        <f>Table1[[#This Row],[ID ROW]]-((Table1[[#This Row],[SECT]]-1)*12)</f>
        <v>6</v>
      </c>
    </row>
    <row r="752" spans="1:16" ht="15.75" customHeight="1" x14ac:dyDescent="0.3">
      <c r="A752" s="6" t="s">
        <v>2686</v>
      </c>
      <c r="B752" s="6" t="s">
        <v>2687</v>
      </c>
      <c r="C752" s="6" t="s">
        <v>2688</v>
      </c>
      <c r="F752" s="13" t="s">
        <v>2683</v>
      </c>
      <c r="G752" s="8">
        <v>229</v>
      </c>
      <c r="H752" s="21" t="s">
        <v>1898</v>
      </c>
      <c r="I752" s="9">
        <f t="shared" si="50"/>
        <v>42</v>
      </c>
      <c r="J752" s="9">
        <f t="shared" si="49"/>
        <v>3</v>
      </c>
      <c r="K752" s="10" t="str">
        <f t="shared" si="48"/>
        <v>S2R42B3</v>
      </c>
      <c r="L752" s="10" t="s">
        <v>1899</v>
      </c>
      <c r="M752" s="10">
        <f>IF(Table1[[#This Row],[ID ROW]]&lt;=12,Table1[[#This Row],[ID ROW]],Table1[[#This Row],[ID ROW]]+INT((Table1[[#This Row],[ID ROW]]-1)/12)*2)</f>
        <v>48</v>
      </c>
      <c r="N752" s="10" t="str">
        <f t="shared" si="51"/>
        <v>LSR48B3</v>
      </c>
      <c r="O752" s="10">
        <f>IF(Table1[[#This Row],[ID ROW]]&lt;=12,1,INT((Table1[[#This Row],[ID ROW]]-1)/12)+1)</f>
        <v>4</v>
      </c>
      <c r="P752" s="10">
        <f>Table1[[#This Row],[ID ROW]]-((Table1[[#This Row],[SECT]]-1)*12)</f>
        <v>6</v>
      </c>
    </row>
    <row r="753" spans="1:16" ht="15.75" customHeight="1" x14ac:dyDescent="0.25">
      <c r="A753" s="6" t="s">
        <v>2689</v>
      </c>
      <c r="B753" s="6" t="s">
        <v>2690</v>
      </c>
      <c r="C753" s="6" t="s">
        <v>2691</v>
      </c>
      <c r="F753" s="7" t="s">
        <v>2692</v>
      </c>
      <c r="G753" s="8">
        <v>230</v>
      </c>
      <c r="H753" s="21" t="s">
        <v>1898</v>
      </c>
      <c r="I753" s="9">
        <f t="shared" si="50"/>
        <v>42</v>
      </c>
      <c r="J753" s="9">
        <f t="shared" si="49"/>
        <v>4</v>
      </c>
      <c r="K753" s="10" t="str">
        <f t="shared" si="48"/>
        <v>S2R42B4</v>
      </c>
      <c r="L753" s="10" t="s">
        <v>1899</v>
      </c>
      <c r="M753" s="10">
        <f>IF(Table1[[#This Row],[ID ROW]]&lt;=12,Table1[[#This Row],[ID ROW]],Table1[[#This Row],[ID ROW]]+INT((Table1[[#This Row],[ID ROW]]-1)/12)*2)</f>
        <v>48</v>
      </c>
      <c r="N753" s="10" t="str">
        <f t="shared" si="51"/>
        <v>LSR48B4</v>
      </c>
      <c r="O753" s="10">
        <f>IF(Table1[[#This Row],[ID ROW]]&lt;=12,1,INT((Table1[[#This Row],[ID ROW]]-1)/12)+1)</f>
        <v>4</v>
      </c>
      <c r="P753" s="10">
        <f>Table1[[#This Row],[ID ROW]]-((Table1[[#This Row],[SECT]]-1)*12)</f>
        <v>6</v>
      </c>
    </row>
    <row r="754" spans="1:16" ht="15.75" customHeight="1" x14ac:dyDescent="0.3">
      <c r="A754" s="6" t="s">
        <v>2693</v>
      </c>
      <c r="B754" s="6" t="s">
        <v>2694</v>
      </c>
      <c r="C754" s="6" t="s">
        <v>2695</v>
      </c>
      <c r="F754" s="13" t="s">
        <v>2696</v>
      </c>
      <c r="G754" s="8">
        <v>231</v>
      </c>
      <c r="H754" s="21" t="s">
        <v>1898</v>
      </c>
      <c r="I754" s="9">
        <f t="shared" si="50"/>
        <v>42</v>
      </c>
      <c r="J754" s="9">
        <f t="shared" si="49"/>
        <v>5</v>
      </c>
      <c r="K754" s="10" t="str">
        <f t="shared" si="48"/>
        <v>S2R42B5</v>
      </c>
      <c r="L754" s="10" t="s">
        <v>1899</v>
      </c>
      <c r="M754" s="10">
        <f>IF(Table1[[#This Row],[ID ROW]]&lt;=12,Table1[[#This Row],[ID ROW]],Table1[[#This Row],[ID ROW]]+INT((Table1[[#This Row],[ID ROW]]-1)/12)*2)</f>
        <v>48</v>
      </c>
      <c r="N754" s="10" t="str">
        <f t="shared" si="51"/>
        <v>LSR48B5</v>
      </c>
      <c r="O754" s="10">
        <f>IF(Table1[[#This Row],[ID ROW]]&lt;=12,1,INT((Table1[[#This Row],[ID ROW]]-1)/12)+1)</f>
        <v>4</v>
      </c>
      <c r="P754" s="10">
        <f>Table1[[#This Row],[ID ROW]]-((Table1[[#This Row],[SECT]]-1)*12)</f>
        <v>6</v>
      </c>
    </row>
    <row r="755" spans="1:16" ht="15.75" customHeight="1" x14ac:dyDescent="0.25">
      <c r="A755" s="6" t="s">
        <v>2697</v>
      </c>
      <c r="B755" s="6" t="s">
        <v>2698</v>
      </c>
      <c r="C755" s="6" t="s">
        <v>67</v>
      </c>
      <c r="F755" s="7" t="s">
        <v>2699</v>
      </c>
      <c r="G755" s="8">
        <v>232</v>
      </c>
      <c r="H755" s="21" t="s">
        <v>1898</v>
      </c>
      <c r="I755" s="9">
        <f t="shared" si="50"/>
        <v>43</v>
      </c>
      <c r="J755" s="9">
        <f t="shared" si="49"/>
        <v>1</v>
      </c>
      <c r="K755" s="10" t="str">
        <f t="shared" si="48"/>
        <v>S2R43B1</v>
      </c>
      <c r="L755" s="10" t="s">
        <v>1899</v>
      </c>
      <c r="M755" s="10">
        <f>IF(Table1[[#This Row],[ID ROW]]&lt;=12,Table1[[#This Row],[ID ROW]],Table1[[#This Row],[ID ROW]]+INT((Table1[[#This Row],[ID ROW]]-1)/12)*2)</f>
        <v>49</v>
      </c>
      <c r="N755" s="10" t="str">
        <f t="shared" si="51"/>
        <v>LSR49B1</v>
      </c>
      <c r="O755" s="10">
        <f>IF(Table1[[#This Row],[ID ROW]]&lt;=12,1,INT((Table1[[#This Row],[ID ROW]]-1)/12)+1)</f>
        <v>4</v>
      </c>
      <c r="P755" s="10">
        <f>Table1[[#This Row],[ID ROW]]-((Table1[[#This Row],[SECT]]-1)*12)</f>
        <v>7</v>
      </c>
    </row>
    <row r="756" spans="1:16" ht="15.75" customHeight="1" x14ac:dyDescent="0.3">
      <c r="A756" s="6" t="s">
        <v>2700</v>
      </c>
      <c r="B756" s="6" t="s">
        <v>2701</v>
      </c>
      <c r="C756" s="6" t="s">
        <v>1001</v>
      </c>
      <c r="F756" s="13" t="s">
        <v>2702</v>
      </c>
      <c r="G756" s="8">
        <v>233</v>
      </c>
      <c r="H756" s="21" t="s">
        <v>1898</v>
      </c>
      <c r="I756" s="9">
        <f t="shared" si="50"/>
        <v>43</v>
      </c>
      <c r="J756" s="9">
        <f t="shared" si="49"/>
        <v>2</v>
      </c>
      <c r="K756" s="10" t="str">
        <f t="shared" si="48"/>
        <v>S2R43B2</v>
      </c>
      <c r="L756" s="10" t="s">
        <v>1899</v>
      </c>
      <c r="M756" s="10">
        <f>IF(Table1[[#This Row],[ID ROW]]&lt;=12,Table1[[#This Row],[ID ROW]],Table1[[#This Row],[ID ROW]]+INT((Table1[[#This Row],[ID ROW]]-1)/12)*2)</f>
        <v>49</v>
      </c>
      <c r="N756" s="10" t="str">
        <f t="shared" si="51"/>
        <v>LSR49B2</v>
      </c>
      <c r="O756" s="10">
        <f>IF(Table1[[#This Row],[ID ROW]]&lt;=12,1,INT((Table1[[#This Row],[ID ROW]]-1)/12)+1)</f>
        <v>4</v>
      </c>
      <c r="P756" s="10">
        <f>Table1[[#This Row],[ID ROW]]-((Table1[[#This Row],[SECT]]-1)*12)</f>
        <v>7</v>
      </c>
    </row>
    <row r="757" spans="1:16" ht="15.75" customHeight="1" x14ac:dyDescent="0.25">
      <c r="A757" s="6" t="s">
        <v>2703</v>
      </c>
      <c r="B757" s="6" t="s">
        <v>2704</v>
      </c>
      <c r="C757" s="6" t="s">
        <v>2705</v>
      </c>
      <c r="D757" s="6" t="s">
        <v>2706</v>
      </c>
      <c r="F757" s="7" t="s">
        <v>2702</v>
      </c>
      <c r="G757" s="8">
        <v>234</v>
      </c>
      <c r="H757" s="21" t="s">
        <v>1898</v>
      </c>
      <c r="I757" s="9">
        <f t="shared" si="50"/>
        <v>43</v>
      </c>
      <c r="J757" s="9">
        <f t="shared" si="49"/>
        <v>3</v>
      </c>
      <c r="K757" s="10" t="str">
        <f t="shared" si="48"/>
        <v>S2R43B3</v>
      </c>
      <c r="L757" s="10" t="s">
        <v>1899</v>
      </c>
      <c r="M757" s="10">
        <f>IF(Table1[[#This Row],[ID ROW]]&lt;=12,Table1[[#This Row],[ID ROW]],Table1[[#This Row],[ID ROW]]+INT((Table1[[#This Row],[ID ROW]]-1)/12)*2)</f>
        <v>49</v>
      </c>
      <c r="N757" s="10" t="str">
        <f t="shared" si="51"/>
        <v>LSR49B3</v>
      </c>
      <c r="O757" s="10">
        <f>IF(Table1[[#This Row],[ID ROW]]&lt;=12,1,INT((Table1[[#This Row],[ID ROW]]-1)/12)+1)</f>
        <v>4</v>
      </c>
      <c r="P757" s="10">
        <f>Table1[[#This Row],[ID ROW]]-((Table1[[#This Row],[SECT]]-1)*12)</f>
        <v>7</v>
      </c>
    </row>
    <row r="758" spans="1:16" ht="15.75" customHeight="1" x14ac:dyDescent="0.3">
      <c r="A758" s="6" t="s">
        <v>2707</v>
      </c>
      <c r="B758" s="6" t="s">
        <v>2708</v>
      </c>
      <c r="C758" s="6" t="s">
        <v>2709</v>
      </c>
      <c r="F758" s="13" t="s">
        <v>2710</v>
      </c>
      <c r="G758" s="8">
        <v>235</v>
      </c>
      <c r="H758" s="21" t="s">
        <v>1898</v>
      </c>
      <c r="I758" s="9">
        <f t="shared" si="50"/>
        <v>43</v>
      </c>
      <c r="J758" s="9">
        <f t="shared" si="49"/>
        <v>4</v>
      </c>
      <c r="K758" s="10" t="str">
        <f t="shared" si="48"/>
        <v>S2R43B4</v>
      </c>
      <c r="L758" s="10" t="s">
        <v>1899</v>
      </c>
      <c r="M758" s="10">
        <f>IF(Table1[[#This Row],[ID ROW]]&lt;=12,Table1[[#This Row],[ID ROW]],Table1[[#This Row],[ID ROW]]+INT((Table1[[#This Row],[ID ROW]]-1)/12)*2)</f>
        <v>49</v>
      </c>
      <c r="N758" s="10" t="str">
        <f t="shared" si="51"/>
        <v>LSR49B4</v>
      </c>
      <c r="O758" s="10">
        <f>IF(Table1[[#This Row],[ID ROW]]&lt;=12,1,INT((Table1[[#This Row],[ID ROW]]-1)/12)+1)</f>
        <v>4</v>
      </c>
      <c r="P758" s="10">
        <f>Table1[[#This Row],[ID ROW]]-((Table1[[#This Row],[SECT]]-1)*12)</f>
        <v>7</v>
      </c>
    </row>
    <row r="759" spans="1:16" ht="15.75" customHeight="1" x14ac:dyDescent="0.25">
      <c r="A759" s="6" t="s">
        <v>2711</v>
      </c>
      <c r="C759" s="6" t="s">
        <v>130</v>
      </c>
      <c r="D759" s="6" t="s">
        <v>207</v>
      </c>
      <c r="F759" s="7" t="s">
        <v>2712</v>
      </c>
      <c r="G759" s="8">
        <v>236</v>
      </c>
      <c r="H759" s="21" t="s">
        <v>1898</v>
      </c>
      <c r="I759" s="9">
        <f t="shared" si="50"/>
        <v>43</v>
      </c>
      <c r="J759" s="9">
        <f t="shared" si="49"/>
        <v>5</v>
      </c>
      <c r="K759" s="10" t="str">
        <f t="shared" si="48"/>
        <v>S2R43B5</v>
      </c>
      <c r="L759" s="10" t="s">
        <v>1899</v>
      </c>
      <c r="M759" s="10">
        <f>IF(Table1[[#This Row],[ID ROW]]&lt;=12,Table1[[#This Row],[ID ROW]],Table1[[#This Row],[ID ROW]]+INT((Table1[[#This Row],[ID ROW]]-1)/12)*2)</f>
        <v>49</v>
      </c>
      <c r="N759" s="10" t="str">
        <f t="shared" si="51"/>
        <v>LSR49B5</v>
      </c>
      <c r="O759" s="10">
        <f>IF(Table1[[#This Row],[ID ROW]]&lt;=12,1,INT((Table1[[#This Row],[ID ROW]]-1)/12)+1)</f>
        <v>4</v>
      </c>
      <c r="P759" s="10">
        <f>Table1[[#This Row],[ID ROW]]-((Table1[[#This Row],[SECT]]-1)*12)</f>
        <v>7</v>
      </c>
    </row>
    <row r="760" spans="1:16" ht="15.75" customHeight="1" x14ac:dyDescent="0.3">
      <c r="A760" s="6" t="s">
        <v>2713</v>
      </c>
      <c r="B760" s="6" t="s">
        <v>2714</v>
      </c>
      <c r="C760" s="6" t="s">
        <v>2715</v>
      </c>
      <c r="D760" s="6" t="s">
        <v>2716</v>
      </c>
      <c r="F760" s="13" t="s">
        <v>2717</v>
      </c>
      <c r="G760" s="8">
        <v>237</v>
      </c>
      <c r="H760" s="21" t="s">
        <v>1898</v>
      </c>
      <c r="I760" s="9">
        <f t="shared" si="50"/>
        <v>43</v>
      </c>
      <c r="J760" s="9">
        <f t="shared" si="49"/>
        <v>6</v>
      </c>
      <c r="K760" s="10" t="str">
        <f t="shared" si="48"/>
        <v>S2R43B6</v>
      </c>
      <c r="L760" s="10" t="s">
        <v>1899</v>
      </c>
      <c r="M760" s="10">
        <f>IF(Table1[[#This Row],[ID ROW]]&lt;=12,Table1[[#This Row],[ID ROW]],Table1[[#This Row],[ID ROW]]+INT((Table1[[#This Row],[ID ROW]]-1)/12)*2)</f>
        <v>49</v>
      </c>
      <c r="N760" s="10" t="str">
        <f t="shared" si="51"/>
        <v>LSR49B6</v>
      </c>
      <c r="O760" s="10">
        <f>IF(Table1[[#This Row],[ID ROW]]&lt;=12,1,INT((Table1[[#This Row],[ID ROW]]-1)/12)+1)</f>
        <v>4</v>
      </c>
      <c r="P760" s="10">
        <f>Table1[[#This Row],[ID ROW]]-((Table1[[#This Row],[SECT]]-1)*12)</f>
        <v>7</v>
      </c>
    </row>
    <row r="761" spans="1:16" ht="15.75" customHeight="1" x14ac:dyDescent="0.25">
      <c r="A761" s="6" t="s">
        <v>2718</v>
      </c>
      <c r="C761" s="6" t="s">
        <v>2719</v>
      </c>
      <c r="D761" s="6" t="s">
        <v>775</v>
      </c>
      <c r="F761" s="7" t="s">
        <v>2720</v>
      </c>
      <c r="G761" s="8">
        <v>238</v>
      </c>
      <c r="H761" s="21" t="s">
        <v>1898</v>
      </c>
      <c r="I761" s="9">
        <f t="shared" si="50"/>
        <v>44</v>
      </c>
      <c r="J761" s="9">
        <f t="shared" si="49"/>
        <v>1</v>
      </c>
      <c r="K761" s="10" t="str">
        <f t="shared" si="48"/>
        <v>S2R44B1</v>
      </c>
      <c r="L761" s="10" t="s">
        <v>1899</v>
      </c>
      <c r="M761" s="10">
        <f>IF(Table1[[#This Row],[ID ROW]]&lt;=12,Table1[[#This Row],[ID ROW]],Table1[[#This Row],[ID ROW]]+INT((Table1[[#This Row],[ID ROW]]-1)/12)*2)</f>
        <v>50</v>
      </c>
      <c r="N761" s="10" t="str">
        <f t="shared" si="51"/>
        <v>LSR50B1</v>
      </c>
      <c r="O761" s="10">
        <f>IF(Table1[[#This Row],[ID ROW]]&lt;=12,1,INT((Table1[[#This Row],[ID ROW]]-1)/12)+1)</f>
        <v>4</v>
      </c>
      <c r="P761" s="10">
        <f>Table1[[#This Row],[ID ROW]]-((Table1[[#This Row],[SECT]]-1)*12)</f>
        <v>8</v>
      </c>
    </row>
    <row r="762" spans="1:16" ht="15.75" customHeight="1" x14ac:dyDescent="0.3">
      <c r="A762" s="6" t="s">
        <v>2721</v>
      </c>
      <c r="B762" s="6" t="s">
        <v>2722</v>
      </c>
      <c r="C762" s="6" t="s">
        <v>412</v>
      </c>
      <c r="F762" s="13" t="s">
        <v>2720</v>
      </c>
      <c r="G762" s="8">
        <v>239</v>
      </c>
      <c r="H762" s="21" t="s">
        <v>1898</v>
      </c>
      <c r="I762" s="9">
        <f t="shared" si="50"/>
        <v>44</v>
      </c>
      <c r="J762" s="9">
        <f t="shared" si="49"/>
        <v>2</v>
      </c>
      <c r="K762" s="10" t="str">
        <f t="shared" si="48"/>
        <v>S2R44B2</v>
      </c>
      <c r="L762" s="10" t="s">
        <v>1899</v>
      </c>
      <c r="M762" s="10">
        <f>IF(Table1[[#This Row],[ID ROW]]&lt;=12,Table1[[#This Row],[ID ROW]],Table1[[#This Row],[ID ROW]]+INT((Table1[[#This Row],[ID ROW]]-1)/12)*2)</f>
        <v>50</v>
      </c>
      <c r="N762" s="10" t="str">
        <f t="shared" si="51"/>
        <v>LSR50B2</v>
      </c>
      <c r="O762" s="10">
        <f>IF(Table1[[#This Row],[ID ROW]]&lt;=12,1,INT((Table1[[#This Row],[ID ROW]]-1)/12)+1)</f>
        <v>4</v>
      </c>
      <c r="P762" s="10">
        <f>Table1[[#This Row],[ID ROW]]-((Table1[[#This Row],[SECT]]-1)*12)</f>
        <v>8</v>
      </c>
    </row>
    <row r="763" spans="1:16" ht="15.75" customHeight="1" x14ac:dyDescent="0.25">
      <c r="A763" s="6" t="s">
        <v>2723</v>
      </c>
      <c r="B763" s="6" t="s">
        <v>2709</v>
      </c>
      <c r="C763" s="6" t="s">
        <v>2724</v>
      </c>
      <c r="D763" s="6" t="s">
        <v>2725</v>
      </c>
      <c r="F763" s="7" t="s">
        <v>2726</v>
      </c>
      <c r="G763" s="8">
        <v>240</v>
      </c>
      <c r="H763" s="21" t="s">
        <v>1898</v>
      </c>
      <c r="I763" s="9">
        <f t="shared" si="50"/>
        <v>44</v>
      </c>
      <c r="J763" s="9">
        <f t="shared" si="49"/>
        <v>3</v>
      </c>
      <c r="K763" s="10" t="str">
        <f t="shared" si="48"/>
        <v>S2R44B3</v>
      </c>
      <c r="L763" s="10" t="s">
        <v>1899</v>
      </c>
      <c r="M763" s="10">
        <f>IF(Table1[[#This Row],[ID ROW]]&lt;=12,Table1[[#This Row],[ID ROW]],Table1[[#This Row],[ID ROW]]+INT((Table1[[#This Row],[ID ROW]]-1)/12)*2)</f>
        <v>50</v>
      </c>
      <c r="N763" s="10" t="str">
        <f t="shared" si="51"/>
        <v>LSR50B3</v>
      </c>
      <c r="O763" s="10">
        <f>IF(Table1[[#This Row],[ID ROW]]&lt;=12,1,INT((Table1[[#This Row],[ID ROW]]-1)/12)+1)</f>
        <v>4</v>
      </c>
      <c r="P763" s="10">
        <f>Table1[[#This Row],[ID ROW]]-((Table1[[#This Row],[SECT]]-1)*12)</f>
        <v>8</v>
      </c>
    </row>
    <row r="764" spans="1:16" ht="15.75" customHeight="1" x14ac:dyDescent="0.3">
      <c r="A764" s="6" t="s">
        <v>2727</v>
      </c>
      <c r="B764" s="6" t="s">
        <v>1287</v>
      </c>
      <c r="C764" s="6" t="s">
        <v>2728</v>
      </c>
      <c r="F764" s="13" t="s">
        <v>2729</v>
      </c>
      <c r="G764" s="8">
        <v>241</v>
      </c>
      <c r="H764" s="21" t="s">
        <v>1898</v>
      </c>
      <c r="I764" s="9">
        <f t="shared" si="50"/>
        <v>44</v>
      </c>
      <c r="J764" s="9">
        <f t="shared" si="49"/>
        <v>4</v>
      </c>
      <c r="K764" s="10" t="str">
        <f t="shared" si="48"/>
        <v>S2R44B4</v>
      </c>
      <c r="L764" s="10" t="s">
        <v>1899</v>
      </c>
      <c r="M764" s="10">
        <f>IF(Table1[[#This Row],[ID ROW]]&lt;=12,Table1[[#This Row],[ID ROW]],Table1[[#This Row],[ID ROW]]+INT((Table1[[#This Row],[ID ROW]]-1)/12)*2)</f>
        <v>50</v>
      </c>
      <c r="N764" s="10" t="str">
        <f t="shared" si="51"/>
        <v>LSR50B4</v>
      </c>
      <c r="O764" s="10">
        <f>IF(Table1[[#This Row],[ID ROW]]&lt;=12,1,INT((Table1[[#This Row],[ID ROW]]-1)/12)+1)</f>
        <v>4</v>
      </c>
      <c r="P764" s="10">
        <f>Table1[[#This Row],[ID ROW]]-((Table1[[#This Row],[SECT]]-1)*12)</f>
        <v>8</v>
      </c>
    </row>
    <row r="765" spans="1:16" ht="15.75" customHeight="1" x14ac:dyDescent="0.25">
      <c r="A765" s="6" t="s">
        <v>2730</v>
      </c>
      <c r="B765" s="6" t="s">
        <v>234</v>
      </c>
      <c r="C765" s="6" t="s">
        <v>105</v>
      </c>
      <c r="F765" s="7" t="s">
        <v>2731</v>
      </c>
      <c r="G765" s="8">
        <v>242</v>
      </c>
      <c r="H765" s="21" t="s">
        <v>1898</v>
      </c>
      <c r="I765" s="9">
        <f t="shared" si="50"/>
        <v>44</v>
      </c>
      <c r="J765" s="9">
        <f t="shared" si="49"/>
        <v>5</v>
      </c>
      <c r="K765" s="10" t="str">
        <f t="shared" si="48"/>
        <v>S2R44B5</v>
      </c>
      <c r="L765" s="10" t="s">
        <v>1899</v>
      </c>
      <c r="M765" s="10">
        <f>IF(Table1[[#This Row],[ID ROW]]&lt;=12,Table1[[#This Row],[ID ROW]],Table1[[#This Row],[ID ROW]]+INT((Table1[[#This Row],[ID ROW]]-1)/12)*2)</f>
        <v>50</v>
      </c>
      <c r="N765" s="10" t="str">
        <f t="shared" si="51"/>
        <v>LSR50B5</v>
      </c>
      <c r="O765" s="10">
        <f>IF(Table1[[#This Row],[ID ROW]]&lt;=12,1,INT((Table1[[#This Row],[ID ROW]]-1)/12)+1)</f>
        <v>4</v>
      </c>
      <c r="P765" s="10">
        <f>Table1[[#This Row],[ID ROW]]-((Table1[[#This Row],[SECT]]-1)*12)</f>
        <v>8</v>
      </c>
    </row>
    <row r="766" spans="1:16" ht="15.75" customHeight="1" x14ac:dyDescent="0.3">
      <c r="A766" s="6" t="s">
        <v>2732</v>
      </c>
      <c r="B766" s="6" t="s">
        <v>2733</v>
      </c>
      <c r="C766" s="6" t="s">
        <v>2734</v>
      </c>
      <c r="F766" s="13" t="s">
        <v>1902</v>
      </c>
      <c r="G766" s="8">
        <v>243</v>
      </c>
      <c r="H766" s="21" t="s">
        <v>1898</v>
      </c>
      <c r="I766" s="9">
        <f t="shared" si="50"/>
        <v>45</v>
      </c>
      <c r="J766" s="9">
        <f t="shared" si="49"/>
        <v>1</v>
      </c>
      <c r="K766" s="10" t="str">
        <f t="shared" si="48"/>
        <v>S2R45B1</v>
      </c>
      <c r="L766" s="10" t="s">
        <v>1899</v>
      </c>
      <c r="M766" s="10">
        <f>IF(Table1[[#This Row],[ID ROW]]&lt;=12,Table1[[#This Row],[ID ROW]],Table1[[#This Row],[ID ROW]]+INT((Table1[[#This Row],[ID ROW]]-1)/12)*2)</f>
        <v>51</v>
      </c>
      <c r="N766" s="10" t="str">
        <f t="shared" si="51"/>
        <v>LSR51B1</v>
      </c>
      <c r="O766" s="10">
        <f>IF(Table1[[#This Row],[ID ROW]]&lt;=12,1,INT((Table1[[#This Row],[ID ROW]]-1)/12)+1)</f>
        <v>4</v>
      </c>
      <c r="P766" s="10">
        <f>Table1[[#This Row],[ID ROW]]-((Table1[[#This Row],[SECT]]-1)*12)</f>
        <v>9</v>
      </c>
    </row>
    <row r="767" spans="1:16" ht="15.75" customHeight="1" x14ac:dyDescent="0.25">
      <c r="A767" s="6" t="s">
        <v>2735</v>
      </c>
      <c r="B767" s="6" t="s">
        <v>2736</v>
      </c>
      <c r="C767" s="6" t="s">
        <v>214</v>
      </c>
      <c r="F767" s="7" t="s">
        <v>2737</v>
      </c>
      <c r="G767" s="8">
        <v>244</v>
      </c>
      <c r="H767" s="21" t="s">
        <v>1898</v>
      </c>
      <c r="I767" s="9">
        <f t="shared" si="50"/>
        <v>45</v>
      </c>
      <c r="J767" s="9">
        <f t="shared" si="49"/>
        <v>2</v>
      </c>
      <c r="K767" s="10" t="str">
        <f t="shared" si="48"/>
        <v>S2R45B2</v>
      </c>
      <c r="L767" s="10" t="s">
        <v>1899</v>
      </c>
      <c r="M767" s="10">
        <f>IF(Table1[[#This Row],[ID ROW]]&lt;=12,Table1[[#This Row],[ID ROW]],Table1[[#This Row],[ID ROW]]+INT((Table1[[#This Row],[ID ROW]]-1)/12)*2)</f>
        <v>51</v>
      </c>
      <c r="N767" s="10" t="str">
        <f t="shared" si="51"/>
        <v>LSR51B2</v>
      </c>
      <c r="O767" s="10">
        <f>IF(Table1[[#This Row],[ID ROW]]&lt;=12,1,INT((Table1[[#This Row],[ID ROW]]-1)/12)+1)</f>
        <v>4</v>
      </c>
      <c r="P767" s="10">
        <f>Table1[[#This Row],[ID ROW]]-((Table1[[#This Row],[SECT]]-1)*12)</f>
        <v>9</v>
      </c>
    </row>
    <row r="768" spans="1:16" ht="15.75" customHeight="1" x14ac:dyDescent="0.3">
      <c r="A768" s="6" t="s">
        <v>2738</v>
      </c>
      <c r="B768" s="6" t="s">
        <v>2739</v>
      </c>
      <c r="C768" s="6" t="s">
        <v>2740</v>
      </c>
      <c r="F768" s="13" t="s">
        <v>2741</v>
      </c>
      <c r="G768" s="8">
        <v>245</v>
      </c>
      <c r="H768" s="21" t="s">
        <v>1898</v>
      </c>
      <c r="I768" s="9">
        <f t="shared" si="50"/>
        <v>45</v>
      </c>
      <c r="J768" s="9">
        <f t="shared" si="49"/>
        <v>3</v>
      </c>
      <c r="K768" s="10" t="str">
        <f t="shared" si="48"/>
        <v>S2R45B3</v>
      </c>
      <c r="L768" s="10" t="s">
        <v>1899</v>
      </c>
      <c r="M768" s="10">
        <f>IF(Table1[[#This Row],[ID ROW]]&lt;=12,Table1[[#This Row],[ID ROW]],Table1[[#This Row],[ID ROW]]+INT((Table1[[#This Row],[ID ROW]]-1)/12)*2)</f>
        <v>51</v>
      </c>
      <c r="N768" s="10" t="str">
        <f t="shared" si="51"/>
        <v>LSR51B3</v>
      </c>
      <c r="O768" s="10">
        <f>IF(Table1[[#This Row],[ID ROW]]&lt;=12,1,INT((Table1[[#This Row],[ID ROW]]-1)/12)+1)</f>
        <v>4</v>
      </c>
      <c r="P768" s="10">
        <f>Table1[[#This Row],[ID ROW]]-((Table1[[#This Row],[SECT]]-1)*12)</f>
        <v>9</v>
      </c>
    </row>
    <row r="769" spans="1:16" ht="15.75" customHeight="1" x14ac:dyDescent="0.25">
      <c r="A769" s="6" t="s">
        <v>2742</v>
      </c>
      <c r="B769" s="6" t="s">
        <v>214</v>
      </c>
      <c r="D769" s="6" t="s">
        <v>2743</v>
      </c>
      <c r="F769" s="7" t="s">
        <v>2744</v>
      </c>
      <c r="G769" s="8">
        <v>246</v>
      </c>
      <c r="H769" s="21" t="s">
        <v>1898</v>
      </c>
      <c r="I769" s="9">
        <f t="shared" si="50"/>
        <v>45</v>
      </c>
      <c r="J769" s="9">
        <f t="shared" si="49"/>
        <v>4</v>
      </c>
      <c r="K769" s="10" t="str">
        <f t="shared" ref="K769:K832" si="52">H769&amp;"R"&amp;I769&amp;"B"&amp;J769</f>
        <v>S2R45B4</v>
      </c>
      <c r="L769" s="10" t="s">
        <v>1899</v>
      </c>
      <c r="M769" s="10">
        <f>IF(Table1[[#This Row],[ID ROW]]&lt;=12,Table1[[#This Row],[ID ROW]],Table1[[#This Row],[ID ROW]]+INT((Table1[[#This Row],[ID ROW]]-1)/12)*2)</f>
        <v>51</v>
      </c>
      <c r="N769" s="10" t="str">
        <f t="shared" si="51"/>
        <v>LSR51B4</v>
      </c>
      <c r="O769" s="10">
        <f>IF(Table1[[#This Row],[ID ROW]]&lt;=12,1,INT((Table1[[#This Row],[ID ROW]]-1)/12)+1)</f>
        <v>4</v>
      </c>
      <c r="P769" s="10">
        <f>Table1[[#This Row],[ID ROW]]-((Table1[[#This Row],[SECT]]-1)*12)</f>
        <v>9</v>
      </c>
    </row>
    <row r="770" spans="1:16" ht="15.75" customHeight="1" x14ac:dyDescent="0.3">
      <c r="A770" s="6" t="s">
        <v>2745</v>
      </c>
      <c r="B770" s="6" t="s">
        <v>2746</v>
      </c>
      <c r="C770" s="6" t="s">
        <v>2747</v>
      </c>
      <c r="D770" s="6" t="s">
        <v>2748</v>
      </c>
      <c r="F770" s="13" t="s">
        <v>2749</v>
      </c>
      <c r="G770" s="8">
        <v>247</v>
      </c>
      <c r="H770" s="21" t="s">
        <v>1898</v>
      </c>
      <c r="I770" s="9">
        <f t="shared" si="50"/>
        <v>45</v>
      </c>
      <c r="J770" s="9">
        <f t="shared" si="49"/>
        <v>5</v>
      </c>
      <c r="K770" s="10" t="str">
        <f t="shared" si="52"/>
        <v>S2R45B5</v>
      </c>
      <c r="L770" s="10" t="s">
        <v>1899</v>
      </c>
      <c r="M770" s="10">
        <f>IF(Table1[[#This Row],[ID ROW]]&lt;=12,Table1[[#This Row],[ID ROW]],Table1[[#This Row],[ID ROW]]+INT((Table1[[#This Row],[ID ROW]]-1)/12)*2)</f>
        <v>51</v>
      </c>
      <c r="N770" s="10" t="str">
        <f t="shared" si="51"/>
        <v>LSR51B5</v>
      </c>
      <c r="O770" s="10">
        <f>IF(Table1[[#This Row],[ID ROW]]&lt;=12,1,INT((Table1[[#This Row],[ID ROW]]-1)/12)+1)</f>
        <v>4</v>
      </c>
      <c r="P770" s="10">
        <f>Table1[[#This Row],[ID ROW]]-((Table1[[#This Row],[SECT]]-1)*12)</f>
        <v>9</v>
      </c>
    </row>
    <row r="771" spans="1:16" ht="15.75" customHeight="1" x14ac:dyDescent="0.25">
      <c r="A771" s="6" t="s">
        <v>2750</v>
      </c>
      <c r="B771" s="6" t="s">
        <v>2751</v>
      </c>
      <c r="C771" s="6" t="s">
        <v>194</v>
      </c>
      <c r="D771" s="6" t="s">
        <v>2752</v>
      </c>
      <c r="F771" s="7" t="s">
        <v>2753</v>
      </c>
      <c r="G771" s="8">
        <v>248</v>
      </c>
      <c r="H771" s="21" t="s">
        <v>1898</v>
      </c>
      <c r="I771" s="9">
        <f t="shared" si="50"/>
        <v>45</v>
      </c>
      <c r="J771" s="9">
        <f t="shared" si="49"/>
        <v>6</v>
      </c>
      <c r="K771" s="10" t="str">
        <f t="shared" si="52"/>
        <v>S2R45B6</v>
      </c>
      <c r="L771" s="10" t="s">
        <v>1899</v>
      </c>
      <c r="M771" s="10">
        <f>IF(Table1[[#This Row],[ID ROW]]&lt;=12,Table1[[#This Row],[ID ROW]],Table1[[#This Row],[ID ROW]]+INT((Table1[[#This Row],[ID ROW]]-1)/12)*2)</f>
        <v>51</v>
      </c>
      <c r="N771" s="10" t="str">
        <f t="shared" si="51"/>
        <v>LSR51B6</v>
      </c>
      <c r="O771" s="10">
        <f>IF(Table1[[#This Row],[ID ROW]]&lt;=12,1,INT((Table1[[#This Row],[ID ROW]]-1)/12)+1)</f>
        <v>4</v>
      </c>
      <c r="P771" s="10">
        <f>Table1[[#This Row],[ID ROW]]-((Table1[[#This Row],[SECT]]-1)*12)</f>
        <v>9</v>
      </c>
    </row>
    <row r="772" spans="1:16" ht="15.75" customHeight="1" x14ac:dyDescent="0.3">
      <c r="A772" s="6" t="s">
        <v>2754</v>
      </c>
      <c r="B772" s="6" t="s">
        <v>2755</v>
      </c>
      <c r="C772" s="6" t="s">
        <v>2756</v>
      </c>
      <c r="F772" s="13" t="s">
        <v>2757</v>
      </c>
      <c r="G772" s="8">
        <v>249</v>
      </c>
      <c r="H772" s="21" t="s">
        <v>1898</v>
      </c>
      <c r="I772" s="9">
        <f t="shared" si="50"/>
        <v>46</v>
      </c>
      <c r="J772" s="9">
        <f t="shared" si="49"/>
        <v>1</v>
      </c>
      <c r="K772" s="10" t="str">
        <f t="shared" si="52"/>
        <v>S2R46B1</v>
      </c>
      <c r="L772" s="10" t="s">
        <v>1899</v>
      </c>
      <c r="M772" s="10">
        <f>IF(Table1[[#This Row],[ID ROW]]&lt;=12,Table1[[#This Row],[ID ROW]],Table1[[#This Row],[ID ROW]]+INT((Table1[[#This Row],[ID ROW]]-1)/12)*2)</f>
        <v>52</v>
      </c>
      <c r="N772" s="10" t="str">
        <f t="shared" si="51"/>
        <v>LSR52B1</v>
      </c>
      <c r="O772" s="10">
        <f>IF(Table1[[#This Row],[ID ROW]]&lt;=12,1,INT((Table1[[#This Row],[ID ROW]]-1)/12)+1)</f>
        <v>4</v>
      </c>
      <c r="P772" s="10">
        <f>Table1[[#This Row],[ID ROW]]-((Table1[[#This Row],[SECT]]-1)*12)</f>
        <v>10</v>
      </c>
    </row>
    <row r="773" spans="1:16" ht="15.75" customHeight="1" x14ac:dyDescent="0.25">
      <c r="A773" s="6" t="s">
        <v>2758</v>
      </c>
      <c r="B773" s="6" t="s">
        <v>2759</v>
      </c>
      <c r="C773" s="6" t="s">
        <v>2760</v>
      </c>
      <c r="F773" s="7" t="s">
        <v>2761</v>
      </c>
      <c r="G773" s="8">
        <v>250</v>
      </c>
      <c r="H773" s="21" t="s">
        <v>1898</v>
      </c>
      <c r="I773" s="9">
        <f t="shared" si="50"/>
        <v>46</v>
      </c>
      <c r="J773" s="9">
        <f t="shared" si="49"/>
        <v>2</v>
      </c>
      <c r="K773" s="10" t="str">
        <f t="shared" si="52"/>
        <v>S2R46B2</v>
      </c>
      <c r="L773" s="10" t="s">
        <v>1899</v>
      </c>
      <c r="M773" s="10">
        <f>IF(Table1[[#This Row],[ID ROW]]&lt;=12,Table1[[#This Row],[ID ROW]],Table1[[#This Row],[ID ROW]]+INT((Table1[[#This Row],[ID ROW]]-1)/12)*2)</f>
        <v>52</v>
      </c>
      <c r="N773" s="10" t="str">
        <f t="shared" si="51"/>
        <v>LSR52B2</v>
      </c>
      <c r="O773" s="10">
        <f>IF(Table1[[#This Row],[ID ROW]]&lt;=12,1,INT((Table1[[#This Row],[ID ROW]]-1)/12)+1)</f>
        <v>4</v>
      </c>
      <c r="P773" s="10">
        <f>Table1[[#This Row],[ID ROW]]-((Table1[[#This Row],[SECT]]-1)*12)</f>
        <v>10</v>
      </c>
    </row>
    <row r="774" spans="1:16" ht="15.75" customHeight="1" x14ac:dyDescent="0.3">
      <c r="A774" s="6" t="s">
        <v>2762</v>
      </c>
      <c r="B774" s="6" t="s">
        <v>2763</v>
      </c>
      <c r="C774" s="6" t="s">
        <v>2764</v>
      </c>
      <c r="F774" s="13" t="s">
        <v>2761</v>
      </c>
      <c r="G774" s="8">
        <v>251</v>
      </c>
      <c r="H774" s="21" t="s">
        <v>1898</v>
      </c>
      <c r="I774" s="9">
        <f t="shared" si="50"/>
        <v>46</v>
      </c>
      <c r="J774" s="9">
        <f t="shared" si="49"/>
        <v>3</v>
      </c>
      <c r="K774" s="10" t="str">
        <f t="shared" si="52"/>
        <v>S2R46B3</v>
      </c>
      <c r="L774" s="10" t="s">
        <v>1899</v>
      </c>
      <c r="M774" s="10">
        <f>IF(Table1[[#This Row],[ID ROW]]&lt;=12,Table1[[#This Row],[ID ROW]],Table1[[#This Row],[ID ROW]]+INT((Table1[[#This Row],[ID ROW]]-1)/12)*2)</f>
        <v>52</v>
      </c>
      <c r="N774" s="10" t="str">
        <f t="shared" si="51"/>
        <v>LSR52B3</v>
      </c>
      <c r="O774" s="10">
        <f>IF(Table1[[#This Row],[ID ROW]]&lt;=12,1,INT((Table1[[#This Row],[ID ROW]]-1)/12)+1)</f>
        <v>4</v>
      </c>
      <c r="P774" s="10">
        <f>Table1[[#This Row],[ID ROW]]-((Table1[[#This Row],[SECT]]-1)*12)</f>
        <v>10</v>
      </c>
    </row>
    <row r="775" spans="1:16" ht="15.75" customHeight="1" x14ac:dyDescent="0.25">
      <c r="A775" s="6" t="s">
        <v>2765</v>
      </c>
      <c r="B775" s="6" t="s">
        <v>2766</v>
      </c>
      <c r="C775" s="6" t="s">
        <v>2767</v>
      </c>
      <c r="F775" s="7" t="s">
        <v>2761</v>
      </c>
      <c r="G775" s="8">
        <v>252</v>
      </c>
      <c r="H775" s="21" t="s">
        <v>1898</v>
      </c>
      <c r="I775" s="9">
        <f t="shared" si="50"/>
        <v>46</v>
      </c>
      <c r="J775" s="9">
        <f t="shared" si="49"/>
        <v>4</v>
      </c>
      <c r="K775" s="10" t="str">
        <f t="shared" si="52"/>
        <v>S2R46B4</v>
      </c>
      <c r="L775" s="10" t="s">
        <v>1899</v>
      </c>
      <c r="M775" s="10">
        <f>IF(Table1[[#This Row],[ID ROW]]&lt;=12,Table1[[#This Row],[ID ROW]],Table1[[#This Row],[ID ROW]]+INT((Table1[[#This Row],[ID ROW]]-1)/12)*2)</f>
        <v>52</v>
      </c>
      <c r="N775" s="10" t="str">
        <f t="shared" si="51"/>
        <v>LSR52B4</v>
      </c>
      <c r="O775" s="10">
        <f>IF(Table1[[#This Row],[ID ROW]]&lt;=12,1,INT((Table1[[#This Row],[ID ROW]]-1)/12)+1)</f>
        <v>4</v>
      </c>
      <c r="P775" s="10">
        <f>Table1[[#This Row],[ID ROW]]-((Table1[[#This Row],[SECT]]-1)*12)</f>
        <v>10</v>
      </c>
    </row>
    <row r="776" spans="1:16" ht="15.75" customHeight="1" x14ac:dyDescent="0.3">
      <c r="A776" s="6" t="s">
        <v>2768</v>
      </c>
      <c r="B776" s="6" t="s">
        <v>2769</v>
      </c>
      <c r="C776" s="6" t="s">
        <v>2770</v>
      </c>
      <c r="F776" s="13" t="s">
        <v>2761</v>
      </c>
      <c r="G776" s="8">
        <v>253</v>
      </c>
      <c r="H776" s="21" t="s">
        <v>1898</v>
      </c>
      <c r="I776" s="9">
        <f t="shared" si="50"/>
        <v>46</v>
      </c>
      <c r="J776" s="9">
        <f t="shared" si="49"/>
        <v>5</v>
      </c>
      <c r="K776" s="10" t="str">
        <f t="shared" si="52"/>
        <v>S2R46B5</v>
      </c>
      <c r="L776" s="10" t="s">
        <v>1899</v>
      </c>
      <c r="M776" s="10">
        <f>IF(Table1[[#This Row],[ID ROW]]&lt;=12,Table1[[#This Row],[ID ROW]],Table1[[#This Row],[ID ROW]]+INT((Table1[[#This Row],[ID ROW]]-1)/12)*2)</f>
        <v>52</v>
      </c>
      <c r="N776" s="10" t="str">
        <f t="shared" si="51"/>
        <v>LSR52B5</v>
      </c>
      <c r="O776" s="10">
        <f>IF(Table1[[#This Row],[ID ROW]]&lt;=12,1,INT((Table1[[#This Row],[ID ROW]]-1)/12)+1)</f>
        <v>4</v>
      </c>
      <c r="P776" s="10">
        <f>Table1[[#This Row],[ID ROW]]-((Table1[[#This Row],[SECT]]-1)*12)</f>
        <v>10</v>
      </c>
    </row>
    <row r="777" spans="1:16" ht="15.75" customHeight="1" x14ac:dyDescent="0.25">
      <c r="A777" s="6" t="s">
        <v>165</v>
      </c>
      <c r="B777" s="6" t="s">
        <v>2771</v>
      </c>
      <c r="C777" s="6" t="s">
        <v>567</v>
      </c>
      <c r="F777" s="7" t="s">
        <v>2772</v>
      </c>
      <c r="G777" s="8">
        <v>254</v>
      </c>
      <c r="H777" s="21" t="s">
        <v>1898</v>
      </c>
      <c r="I777" s="9">
        <f t="shared" si="50"/>
        <v>47</v>
      </c>
      <c r="J777" s="9">
        <f t="shared" si="49"/>
        <v>1</v>
      </c>
      <c r="K777" s="10" t="str">
        <f t="shared" si="52"/>
        <v>S2R47B1</v>
      </c>
      <c r="L777" s="10" t="s">
        <v>1899</v>
      </c>
      <c r="M777" s="10">
        <f>IF(Table1[[#This Row],[ID ROW]]&lt;=12,Table1[[#This Row],[ID ROW]],Table1[[#This Row],[ID ROW]]+INT((Table1[[#This Row],[ID ROW]]-1)/12)*2)</f>
        <v>53</v>
      </c>
      <c r="N777" s="10" t="str">
        <f t="shared" si="51"/>
        <v>LSR53B1</v>
      </c>
      <c r="O777" s="10">
        <f>IF(Table1[[#This Row],[ID ROW]]&lt;=12,1,INT((Table1[[#This Row],[ID ROW]]-1)/12)+1)</f>
        <v>4</v>
      </c>
      <c r="P777" s="10">
        <f>Table1[[#This Row],[ID ROW]]-((Table1[[#This Row],[SECT]]-1)*12)</f>
        <v>11</v>
      </c>
    </row>
    <row r="778" spans="1:16" ht="15.75" customHeight="1" x14ac:dyDescent="0.3">
      <c r="A778" s="6" t="s">
        <v>165</v>
      </c>
      <c r="B778" s="6" t="s">
        <v>2773</v>
      </c>
      <c r="C778" s="6" t="s">
        <v>567</v>
      </c>
      <c r="F778" s="13" t="s">
        <v>2772</v>
      </c>
      <c r="G778" s="8">
        <v>255</v>
      </c>
      <c r="H778" s="21" t="s">
        <v>1898</v>
      </c>
      <c r="I778" s="9">
        <f t="shared" si="50"/>
        <v>47</v>
      </c>
      <c r="J778" s="9">
        <f t="shared" si="49"/>
        <v>2</v>
      </c>
      <c r="K778" s="10" t="str">
        <f t="shared" si="52"/>
        <v>S2R47B2</v>
      </c>
      <c r="L778" s="10" t="s">
        <v>1899</v>
      </c>
      <c r="M778" s="10">
        <f>IF(Table1[[#This Row],[ID ROW]]&lt;=12,Table1[[#This Row],[ID ROW]],Table1[[#This Row],[ID ROW]]+INT((Table1[[#This Row],[ID ROW]]-1)/12)*2)</f>
        <v>53</v>
      </c>
      <c r="N778" s="10" t="str">
        <f t="shared" si="51"/>
        <v>LSR53B2</v>
      </c>
      <c r="O778" s="10">
        <f>IF(Table1[[#This Row],[ID ROW]]&lt;=12,1,INT((Table1[[#This Row],[ID ROW]]-1)/12)+1)</f>
        <v>4</v>
      </c>
      <c r="P778" s="10">
        <f>Table1[[#This Row],[ID ROW]]-((Table1[[#This Row],[SECT]]-1)*12)</f>
        <v>11</v>
      </c>
    </row>
    <row r="779" spans="1:16" ht="15.75" customHeight="1" x14ac:dyDescent="0.25">
      <c r="A779" s="6" t="s">
        <v>2774</v>
      </c>
      <c r="B779" s="6" t="s">
        <v>2775</v>
      </c>
      <c r="C779" s="6" t="s">
        <v>143</v>
      </c>
      <c r="D779" s="6" t="s">
        <v>2058</v>
      </c>
      <c r="F779" s="7" t="s">
        <v>2059</v>
      </c>
      <c r="G779" s="8">
        <v>256</v>
      </c>
      <c r="H779" s="21" t="s">
        <v>1898</v>
      </c>
      <c r="I779" s="9">
        <f t="shared" si="50"/>
        <v>47</v>
      </c>
      <c r="J779" s="9">
        <f t="shared" si="49"/>
        <v>3</v>
      </c>
      <c r="K779" s="10" t="str">
        <f t="shared" si="52"/>
        <v>S2R47B3</v>
      </c>
      <c r="L779" s="10" t="s">
        <v>1899</v>
      </c>
      <c r="M779" s="10">
        <f>IF(Table1[[#This Row],[ID ROW]]&lt;=12,Table1[[#This Row],[ID ROW]],Table1[[#This Row],[ID ROW]]+INT((Table1[[#This Row],[ID ROW]]-1)/12)*2)</f>
        <v>53</v>
      </c>
      <c r="N779" s="10" t="str">
        <f t="shared" si="51"/>
        <v>LSR53B3</v>
      </c>
      <c r="O779" s="10">
        <f>IF(Table1[[#This Row],[ID ROW]]&lt;=12,1,INT((Table1[[#This Row],[ID ROW]]-1)/12)+1)</f>
        <v>4</v>
      </c>
      <c r="P779" s="10">
        <f>Table1[[#This Row],[ID ROW]]-((Table1[[#This Row],[SECT]]-1)*12)</f>
        <v>11</v>
      </c>
    </row>
    <row r="780" spans="1:16" ht="15.75" customHeight="1" x14ac:dyDescent="0.3">
      <c r="A780" s="6" t="s">
        <v>2776</v>
      </c>
      <c r="B780" s="6" t="s">
        <v>2777</v>
      </c>
      <c r="C780" s="6" t="s">
        <v>2778</v>
      </c>
      <c r="F780" s="13" t="s">
        <v>2779</v>
      </c>
      <c r="G780" s="8">
        <v>257</v>
      </c>
      <c r="H780" s="21" t="s">
        <v>1898</v>
      </c>
      <c r="I780" s="9">
        <f t="shared" si="50"/>
        <v>47</v>
      </c>
      <c r="J780" s="9">
        <f t="shared" si="49"/>
        <v>4</v>
      </c>
      <c r="K780" s="10" t="str">
        <f t="shared" si="52"/>
        <v>S2R47B4</v>
      </c>
      <c r="L780" s="10" t="s">
        <v>1899</v>
      </c>
      <c r="M780" s="10">
        <f>IF(Table1[[#This Row],[ID ROW]]&lt;=12,Table1[[#This Row],[ID ROW]],Table1[[#This Row],[ID ROW]]+INT((Table1[[#This Row],[ID ROW]]-1)/12)*2)</f>
        <v>53</v>
      </c>
      <c r="N780" s="10" t="str">
        <f t="shared" si="51"/>
        <v>LSR53B4</v>
      </c>
      <c r="O780" s="10">
        <f>IF(Table1[[#This Row],[ID ROW]]&lt;=12,1,INT((Table1[[#This Row],[ID ROW]]-1)/12)+1)</f>
        <v>4</v>
      </c>
      <c r="P780" s="10">
        <f>Table1[[#This Row],[ID ROW]]-((Table1[[#This Row],[SECT]]-1)*12)</f>
        <v>11</v>
      </c>
    </row>
    <row r="781" spans="1:16" ht="15.75" customHeight="1" x14ac:dyDescent="0.25">
      <c r="A781" s="6" t="s">
        <v>2780</v>
      </c>
      <c r="B781" s="6" t="s">
        <v>234</v>
      </c>
      <c r="C781" s="6" t="s">
        <v>235</v>
      </c>
      <c r="F781" s="7" t="s">
        <v>2781</v>
      </c>
      <c r="G781" s="8">
        <v>258</v>
      </c>
      <c r="H781" s="21" t="s">
        <v>1898</v>
      </c>
      <c r="I781" s="9">
        <f t="shared" si="50"/>
        <v>47</v>
      </c>
      <c r="J781" s="9">
        <f t="shared" si="49"/>
        <v>5</v>
      </c>
      <c r="K781" s="10" t="str">
        <f t="shared" si="52"/>
        <v>S2R47B5</v>
      </c>
      <c r="L781" s="10" t="s">
        <v>1899</v>
      </c>
      <c r="M781" s="10">
        <f>IF(Table1[[#This Row],[ID ROW]]&lt;=12,Table1[[#This Row],[ID ROW]],Table1[[#This Row],[ID ROW]]+INT((Table1[[#This Row],[ID ROW]]-1)/12)*2)</f>
        <v>53</v>
      </c>
      <c r="N781" s="10" t="str">
        <f t="shared" si="51"/>
        <v>LSR53B5</v>
      </c>
      <c r="O781" s="10">
        <f>IF(Table1[[#This Row],[ID ROW]]&lt;=12,1,INT((Table1[[#This Row],[ID ROW]]-1)/12)+1)</f>
        <v>4</v>
      </c>
      <c r="P781" s="10">
        <f>Table1[[#This Row],[ID ROW]]-((Table1[[#This Row],[SECT]]-1)*12)</f>
        <v>11</v>
      </c>
    </row>
    <row r="782" spans="1:16" ht="15.75" customHeight="1" x14ac:dyDescent="0.3">
      <c r="A782" s="6" t="s">
        <v>2782</v>
      </c>
      <c r="B782" s="6" t="s">
        <v>1204</v>
      </c>
      <c r="C782" s="6" t="s">
        <v>1379</v>
      </c>
      <c r="D782" s="6" t="s">
        <v>2783</v>
      </c>
      <c r="F782" s="13" t="s">
        <v>2784</v>
      </c>
      <c r="G782" s="8">
        <v>259</v>
      </c>
      <c r="H782" s="21" t="s">
        <v>1898</v>
      </c>
      <c r="I782" s="9">
        <f t="shared" si="50"/>
        <v>47</v>
      </c>
      <c r="J782" s="9">
        <f t="shared" si="49"/>
        <v>6</v>
      </c>
      <c r="K782" s="10" t="str">
        <f t="shared" si="52"/>
        <v>S2R47B6</v>
      </c>
      <c r="L782" s="10" t="s">
        <v>1899</v>
      </c>
      <c r="M782" s="10">
        <f>IF(Table1[[#This Row],[ID ROW]]&lt;=12,Table1[[#This Row],[ID ROW]],Table1[[#This Row],[ID ROW]]+INT((Table1[[#This Row],[ID ROW]]-1)/12)*2)</f>
        <v>53</v>
      </c>
      <c r="N782" s="10" t="str">
        <f t="shared" si="51"/>
        <v>LSR53B6</v>
      </c>
      <c r="O782" s="10">
        <f>IF(Table1[[#This Row],[ID ROW]]&lt;=12,1,INT((Table1[[#This Row],[ID ROW]]-1)/12)+1)</f>
        <v>4</v>
      </c>
      <c r="P782" s="10">
        <f>Table1[[#This Row],[ID ROW]]-((Table1[[#This Row],[SECT]]-1)*12)</f>
        <v>11</v>
      </c>
    </row>
    <row r="783" spans="1:16" ht="15.75" customHeight="1" x14ac:dyDescent="0.25">
      <c r="A783" s="6" t="s">
        <v>2785</v>
      </c>
      <c r="B783" s="6" t="s">
        <v>2786</v>
      </c>
      <c r="C783" s="6" t="s">
        <v>117</v>
      </c>
      <c r="F783" s="7" t="s">
        <v>2787</v>
      </c>
      <c r="G783" s="8">
        <v>260</v>
      </c>
      <c r="H783" s="21" t="s">
        <v>1898</v>
      </c>
      <c r="I783" s="9">
        <f t="shared" si="50"/>
        <v>48</v>
      </c>
      <c r="J783" s="9">
        <f t="shared" si="49"/>
        <v>1</v>
      </c>
      <c r="K783" s="10" t="str">
        <f t="shared" si="52"/>
        <v>S2R48B1</v>
      </c>
      <c r="L783" s="10" t="s">
        <v>1899</v>
      </c>
      <c r="M783" s="10">
        <f>IF(Table1[[#This Row],[ID ROW]]&lt;=12,Table1[[#This Row],[ID ROW]],Table1[[#This Row],[ID ROW]]+INT((Table1[[#This Row],[ID ROW]]-1)/12)*2)</f>
        <v>54</v>
      </c>
      <c r="N783" s="10" t="str">
        <f t="shared" si="51"/>
        <v>LSR54B1</v>
      </c>
      <c r="O783" s="10">
        <f>IF(Table1[[#This Row],[ID ROW]]&lt;=12,1,INT((Table1[[#This Row],[ID ROW]]-1)/12)+1)</f>
        <v>4</v>
      </c>
      <c r="P783" s="10">
        <f>Table1[[#This Row],[ID ROW]]-((Table1[[#This Row],[SECT]]-1)*12)</f>
        <v>12</v>
      </c>
    </row>
    <row r="784" spans="1:16" ht="15.75" customHeight="1" x14ac:dyDescent="0.3">
      <c r="A784" s="6" t="s">
        <v>2788</v>
      </c>
      <c r="B784" s="6" t="s">
        <v>2789</v>
      </c>
      <c r="C784" s="6" t="s">
        <v>2790</v>
      </c>
      <c r="F784" s="13" t="s">
        <v>2787</v>
      </c>
      <c r="G784" s="8">
        <v>261</v>
      </c>
      <c r="H784" s="21" t="s">
        <v>1898</v>
      </c>
      <c r="I784" s="9">
        <f t="shared" si="50"/>
        <v>48</v>
      </c>
      <c r="J784" s="9">
        <f t="shared" si="49"/>
        <v>2</v>
      </c>
      <c r="K784" s="10" t="str">
        <f t="shared" si="52"/>
        <v>S2R48B2</v>
      </c>
      <c r="L784" s="10" t="s">
        <v>1899</v>
      </c>
      <c r="M784" s="10">
        <f>IF(Table1[[#This Row],[ID ROW]]&lt;=12,Table1[[#This Row],[ID ROW]],Table1[[#This Row],[ID ROW]]+INT((Table1[[#This Row],[ID ROW]]-1)/12)*2)</f>
        <v>54</v>
      </c>
      <c r="N784" s="10" t="str">
        <f t="shared" si="51"/>
        <v>LSR54B2</v>
      </c>
      <c r="O784" s="10">
        <f>IF(Table1[[#This Row],[ID ROW]]&lt;=12,1,INT((Table1[[#This Row],[ID ROW]]-1)/12)+1)</f>
        <v>4</v>
      </c>
      <c r="P784" s="10">
        <f>Table1[[#This Row],[ID ROW]]-((Table1[[#This Row],[SECT]]-1)*12)</f>
        <v>12</v>
      </c>
    </row>
    <row r="785" spans="1:16" ht="15.75" customHeight="1" x14ac:dyDescent="0.25">
      <c r="A785" s="6" t="s">
        <v>2791</v>
      </c>
      <c r="B785" s="6" t="s">
        <v>2792</v>
      </c>
      <c r="C785" s="6" t="s">
        <v>2793</v>
      </c>
      <c r="D785" s="6" t="s">
        <v>67</v>
      </c>
      <c r="F785" s="7" t="s">
        <v>2794</v>
      </c>
      <c r="G785" s="8">
        <v>262</v>
      </c>
      <c r="H785" s="21" t="s">
        <v>1898</v>
      </c>
      <c r="I785" s="9">
        <f t="shared" si="50"/>
        <v>48</v>
      </c>
      <c r="J785" s="9">
        <f t="shared" si="49"/>
        <v>3</v>
      </c>
      <c r="K785" s="10" t="str">
        <f t="shared" si="52"/>
        <v>S2R48B3</v>
      </c>
      <c r="L785" s="10" t="s">
        <v>1899</v>
      </c>
      <c r="M785" s="10">
        <f>IF(Table1[[#This Row],[ID ROW]]&lt;=12,Table1[[#This Row],[ID ROW]],Table1[[#This Row],[ID ROW]]+INT((Table1[[#This Row],[ID ROW]]-1)/12)*2)</f>
        <v>54</v>
      </c>
      <c r="N785" s="10" t="str">
        <f t="shared" si="51"/>
        <v>LSR54B3</v>
      </c>
      <c r="O785" s="10">
        <f>IF(Table1[[#This Row],[ID ROW]]&lt;=12,1,INT((Table1[[#This Row],[ID ROW]]-1)/12)+1)</f>
        <v>4</v>
      </c>
      <c r="P785" s="10">
        <f>Table1[[#This Row],[ID ROW]]-((Table1[[#This Row],[SECT]]-1)*12)</f>
        <v>12</v>
      </c>
    </row>
    <row r="786" spans="1:16" ht="15.75" customHeight="1" x14ac:dyDescent="0.3">
      <c r="A786" s="6" t="s">
        <v>2795</v>
      </c>
      <c r="B786" s="6" t="s">
        <v>2796</v>
      </c>
      <c r="C786" s="6" t="s">
        <v>2797</v>
      </c>
      <c r="D786" s="6" t="s">
        <v>2798</v>
      </c>
      <c r="F786" s="13" t="s">
        <v>2799</v>
      </c>
      <c r="G786" s="8">
        <v>263</v>
      </c>
      <c r="H786" s="21" t="s">
        <v>1898</v>
      </c>
      <c r="I786" s="9">
        <f t="shared" si="50"/>
        <v>48</v>
      </c>
      <c r="J786" s="9">
        <f t="shared" si="49"/>
        <v>4</v>
      </c>
      <c r="K786" s="10" t="str">
        <f t="shared" si="52"/>
        <v>S2R48B4</v>
      </c>
      <c r="L786" s="10" t="s">
        <v>1899</v>
      </c>
      <c r="M786" s="10">
        <f>IF(Table1[[#This Row],[ID ROW]]&lt;=12,Table1[[#This Row],[ID ROW]],Table1[[#This Row],[ID ROW]]+INT((Table1[[#This Row],[ID ROW]]-1)/12)*2)</f>
        <v>54</v>
      </c>
      <c r="N786" s="10" t="str">
        <f t="shared" si="51"/>
        <v>LSR54B4</v>
      </c>
      <c r="O786" s="10">
        <f>IF(Table1[[#This Row],[ID ROW]]&lt;=12,1,INT((Table1[[#This Row],[ID ROW]]-1)/12)+1)</f>
        <v>4</v>
      </c>
      <c r="P786" s="10">
        <f>Table1[[#This Row],[ID ROW]]-((Table1[[#This Row],[SECT]]-1)*12)</f>
        <v>12</v>
      </c>
    </row>
    <row r="787" spans="1:16" ht="15.75" customHeight="1" x14ac:dyDescent="0.25">
      <c r="A787" s="6" t="s">
        <v>2800</v>
      </c>
      <c r="B787" s="6" t="s">
        <v>2801</v>
      </c>
      <c r="C787" s="6" t="s">
        <v>2802</v>
      </c>
      <c r="D787" s="6" t="s">
        <v>2803</v>
      </c>
      <c r="F787" s="7" t="s">
        <v>2804</v>
      </c>
      <c r="G787" s="8">
        <v>264</v>
      </c>
      <c r="H787" s="21" t="s">
        <v>1898</v>
      </c>
      <c r="I787" s="9">
        <f t="shared" si="50"/>
        <v>48</v>
      </c>
      <c r="J787" s="9">
        <f t="shared" si="49"/>
        <v>5</v>
      </c>
      <c r="K787" s="10" t="str">
        <f t="shared" si="52"/>
        <v>S2R48B5</v>
      </c>
      <c r="L787" s="10" t="s">
        <v>1899</v>
      </c>
      <c r="M787" s="10">
        <f>IF(Table1[[#This Row],[ID ROW]]&lt;=12,Table1[[#This Row],[ID ROW]],Table1[[#This Row],[ID ROW]]+INT((Table1[[#This Row],[ID ROW]]-1)/12)*2)</f>
        <v>54</v>
      </c>
      <c r="N787" s="10" t="str">
        <f t="shared" si="51"/>
        <v>LSR54B5</v>
      </c>
      <c r="O787" s="10">
        <f>IF(Table1[[#This Row],[ID ROW]]&lt;=12,1,INT((Table1[[#This Row],[ID ROW]]-1)/12)+1)</f>
        <v>4</v>
      </c>
      <c r="P787" s="10">
        <f>Table1[[#This Row],[ID ROW]]-((Table1[[#This Row],[SECT]]-1)*12)</f>
        <v>12</v>
      </c>
    </row>
    <row r="788" spans="1:16" ht="15.75" customHeight="1" x14ac:dyDescent="0.3">
      <c r="A788" s="6" t="s">
        <v>2805</v>
      </c>
      <c r="B788" s="6" t="s">
        <v>2806</v>
      </c>
      <c r="D788" s="6" t="s">
        <v>2807</v>
      </c>
      <c r="F788" s="13" t="s">
        <v>90</v>
      </c>
      <c r="G788" s="8">
        <v>265</v>
      </c>
      <c r="H788" s="21" t="s">
        <v>1898</v>
      </c>
      <c r="I788" s="9">
        <f t="shared" si="50"/>
        <v>49</v>
      </c>
      <c r="J788" s="9">
        <f t="shared" si="49"/>
        <v>1</v>
      </c>
      <c r="K788" s="10" t="str">
        <f t="shared" si="52"/>
        <v>S2R49B1</v>
      </c>
      <c r="L788" s="10" t="s">
        <v>1899</v>
      </c>
      <c r="M788" s="10">
        <f>IF(Table1[[#This Row],[ID ROW]]&lt;=12,Table1[[#This Row],[ID ROW]],Table1[[#This Row],[ID ROW]]+INT((Table1[[#This Row],[ID ROW]]-1)/12)*2)</f>
        <v>57</v>
      </c>
      <c r="N788" s="10" t="str">
        <f t="shared" si="51"/>
        <v>LSR57B1</v>
      </c>
      <c r="O788" s="10">
        <f>IF(Table1[[#This Row],[ID ROW]]&lt;=12,1,INT((Table1[[#This Row],[ID ROW]]-1)/12)+1)</f>
        <v>5</v>
      </c>
      <c r="P788" s="10">
        <f>Table1[[#This Row],[ID ROW]]-((Table1[[#This Row],[SECT]]-1)*12)</f>
        <v>1</v>
      </c>
    </row>
    <row r="789" spans="1:16" ht="15.75" customHeight="1" x14ac:dyDescent="0.25">
      <c r="A789" s="6" t="s">
        <v>143</v>
      </c>
      <c r="B789" s="6" t="s">
        <v>2808</v>
      </c>
      <c r="C789" s="6" t="s">
        <v>1860</v>
      </c>
      <c r="D789" s="6" t="s">
        <v>52</v>
      </c>
      <c r="F789" s="7" t="s">
        <v>2809</v>
      </c>
      <c r="G789" s="8">
        <v>266</v>
      </c>
      <c r="H789" s="21" t="s">
        <v>1898</v>
      </c>
      <c r="I789" s="9">
        <f t="shared" si="50"/>
        <v>49</v>
      </c>
      <c r="J789" s="9">
        <f t="shared" si="49"/>
        <v>2</v>
      </c>
      <c r="K789" s="10" t="str">
        <f t="shared" si="52"/>
        <v>S2R49B2</v>
      </c>
      <c r="L789" s="10" t="s">
        <v>1899</v>
      </c>
      <c r="M789" s="10">
        <f>IF(Table1[[#This Row],[ID ROW]]&lt;=12,Table1[[#This Row],[ID ROW]],Table1[[#This Row],[ID ROW]]+INT((Table1[[#This Row],[ID ROW]]-1)/12)*2)</f>
        <v>57</v>
      </c>
      <c r="N789" s="10" t="str">
        <f t="shared" si="51"/>
        <v>LSR57B2</v>
      </c>
      <c r="O789" s="10">
        <f>IF(Table1[[#This Row],[ID ROW]]&lt;=12,1,INT((Table1[[#This Row],[ID ROW]]-1)/12)+1)</f>
        <v>5</v>
      </c>
      <c r="P789" s="10">
        <f>Table1[[#This Row],[ID ROW]]-((Table1[[#This Row],[SECT]]-1)*12)</f>
        <v>1</v>
      </c>
    </row>
    <row r="790" spans="1:16" ht="15.75" customHeight="1" x14ac:dyDescent="0.3">
      <c r="A790" s="6" t="s">
        <v>2810</v>
      </c>
      <c r="B790" s="6" t="s">
        <v>2811</v>
      </c>
      <c r="C790" s="6" t="s">
        <v>2812</v>
      </c>
      <c r="D790" s="6" t="s">
        <v>136</v>
      </c>
      <c r="F790" s="13" t="s">
        <v>2813</v>
      </c>
      <c r="G790" s="8">
        <v>267</v>
      </c>
      <c r="H790" s="21" t="s">
        <v>1898</v>
      </c>
      <c r="I790" s="9">
        <f t="shared" si="50"/>
        <v>49</v>
      </c>
      <c r="J790" s="9">
        <f t="shared" si="49"/>
        <v>3</v>
      </c>
      <c r="K790" s="10" t="str">
        <f t="shared" si="52"/>
        <v>S2R49B3</v>
      </c>
      <c r="L790" s="10" t="s">
        <v>1899</v>
      </c>
      <c r="M790" s="10">
        <f>IF(Table1[[#This Row],[ID ROW]]&lt;=12,Table1[[#This Row],[ID ROW]],Table1[[#This Row],[ID ROW]]+INT((Table1[[#This Row],[ID ROW]]-1)/12)*2)</f>
        <v>57</v>
      </c>
      <c r="N790" s="10" t="str">
        <f t="shared" si="51"/>
        <v>LSR57B3</v>
      </c>
      <c r="O790" s="10">
        <f>IF(Table1[[#This Row],[ID ROW]]&lt;=12,1,INT((Table1[[#This Row],[ID ROW]]-1)/12)+1)</f>
        <v>5</v>
      </c>
      <c r="P790" s="10">
        <f>Table1[[#This Row],[ID ROW]]-((Table1[[#This Row],[SECT]]-1)*12)</f>
        <v>1</v>
      </c>
    </row>
    <row r="791" spans="1:16" ht="15.75" customHeight="1" x14ac:dyDescent="0.25">
      <c r="A791" s="6" t="s">
        <v>2814</v>
      </c>
      <c r="C791" s="6" t="s">
        <v>2815</v>
      </c>
      <c r="F791" s="7" t="s">
        <v>246</v>
      </c>
      <c r="G791" s="8">
        <v>268</v>
      </c>
      <c r="H791" s="21" t="s">
        <v>1898</v>
      </c>
      <c r="I791" s="9">
        <f t="shared" si="50"/>
        <v>49</v>
      </c>
      <c r="J791" s="9">
        <f t="shared" si="49"/>
        <v>4</v>
      </c>
      <c r="K791" s="10" t="str">
        <f t="shared" si="52"/>
        <v>S2R49B4</v>
      </c>
      <c r="L791" s="10" t="s">
        <v>1899</v>
      </c>
      <c r="M791" s="10">
        <f>IF(Table1[[#This Row],[ID ROW]]&lt;=12,Table1[[#This Row],[ID ROW]],Table1[[#This Row],[ID ROW]]+INT((Table1[[#This Row],[ID ROW]]-1)/12)*2)</f>
        <v>57</v>
      </c>
      <c r="N791" s="10" t="str">
        <f t="shared" si="51"/>
        <v>LSR57B4</v>
      </c>
      <c r="O791" s="10">
        <f>IF(Table1[[#This Row],[ID ROW]]&lt;=12,1,INT((Table1[[#This Row],[ID ROW]]-1)/12)+1)</f>
        <v>5</v>
      </c>
      <c r="P791" s="10">
        <f>Table1[[#This Row],[ID ROW]]-((Table1[[#This Row],[SECT]]-1)*12)</f>
        <v>1</v>
      </c>
    </row>
    <row r="792" spans="1:16" ht="15.75" customHeight="1" x14ac:dyDescent="0.3">
      <c r="A792" s="6" t="s">
        <v>2816</v>
      </c>
      <c r="B792" s="6" t="s">
        <v>80</v>
      </c>
      <c r="C792" s="6" t="s">
        <v>2817</v>
      </c>
      <c r="D792" s="6" t="s">
        <v>944</v>
      </c>
      <c r="F792" s="13" t="s">
        <v>242</v>
      </c>
      <c r="G792" s="8">
        <v>269</v>
      </c>
      <c r="H792" s="21" t="s">
        <v>1898</v>
      </c>
      <c r="I792" s="9">
        <f t="shared" si="50"/>
        <v>49</v>
      </c>
      <c r="J792" s="9">
        <f t="shared" si="49"/>
        <v>5</v>
      </c>
      <c r="K792" s="10" t="str">
        <f t="shared" si="52"/>
        <v>S2R49B5</v>
      </c>
      <c r="L792" s="10" t="s">
        <v>1899</v>
      </c>
      <c r="M792" s="10">
        <f>IF(Table1[[#This Row],[ID ROW]]&lt;=12,Table1[[#This Row],[ID ROW]],Table1[[#This Row],[ID ROW]]+INT((Table1[[#This Row],[ID ROW]]-1)/12)*2)</f>
        <v>57</v>
      </c>
      <c r="N792" s="10" t="str">
        <f t="shared" si="51"/>
        <v>LSR57B5</v>
      </c>
      <c r="O792" s="10">
        <f>IF(Table1[[#This Row],[ID ROW]]&lt;=12,1,INT((Table1[[#This Row],[ID ROW]]-1)/12)+1)</f>
        <v>5</v>
      </c>
      <c r="P792" s="10">
        <f>Table1[[#This Row],[ID ROW]]-((Table1[[#This Row],[SECT]]-1)*12)</f>
        <v>1</v>
      </c>
    </row>
    <row r="793" spans="1:16" ht="15.75" customHeight="1" x14ac:dyDescent="0.25">
      <c r="A793" s="6" t="s">
        <v>2818</v>
      </c>
      <c r="B793" s="6" t="s">
        <v>2819</v>
      </c>
      <c r="C793" s="6" t="s">
        <v>2820</v>
      </c>
      <c r="D793" s="6" t="s">
        <v>2821</v>
      </c>
      <c r="F793" s="7" t="s">
        <v>2822</v>
      </c>
      <c r="G793" s="8">
        <v>270</v>
      </c>
      <c r="H793" s="21" t="s">
        <v>1898</v>
      </c>
      <c r="I793" s="9">
        <f t="shared" si="50"/>
        <v>49</v>
      </c>
      <c r="J793" s="9">
        <f t="shared" si="49"/>
        <v>6</v>
      </c>
      <c r="K793" s="10" t="str">
        <f t="shared" si="52"/>
        <v>S2R49B6</v>
      </c>
      <c r="L793" s="10" t="s">
        <v>1899</v>
      </c>
      <c r="M793" s="10">
        <f>IF(Table1[[#This Row],[ID ROW]]&lt;=12,Table1[[#This Row],[ID ROW]],Table1[[#This Row],[ID ROW]]+INT((Table1[[#This Row],[ID ROW]]-1)/12)*2)</f>
        <v>57</v>
      </c>
      <c r="N793" s="10" t="str">
        <f t="shared" si="51"/>
        <v>LSR57B6</v>
      </c>
      <c r="O793" s="10">
        <f>IF(Table1[[#This Row],[ID ROW]]&lt;=12,1,INT((Table1[[#This Row],[ID ROW]]-1)/12)+1)</f>
        <v>5</v>
      </c>
      <c r="P793" s="10">
        <f>Table1[[#This Row],[ID ROW]]-((Table1[[#This Row],[SECT]]-1)*12)</f>
        <v>1</v>
      </c>
    </row>
    <row r="794" spans="1:16" ht="15.75" customHeight="1" x14ac:dyDescent="0.3">
      <c r="A794" s="6" t="s">
        <v>2823</v>
      </c>
      <c r="B794" s="6" t="s">
        <v>2824</v>
      </c>
      <c r="C794" s="6" t="s">
        <v>2825</v>
      </c>
      <c r="D794" s="6" t="s">
        <v>2826</v>
      </c>
      <c r="F794" s="13" t="s">
        <v>794</v>
      </c>
      <c r="G794" s="8">
        <v>271</v>
      </c>
      <c r="H794" s="21" t="s">
        <v>1898</v>
      </c>
      <c r="I794" s="9">
        <f t="shared" si="50"/>
        <v>50</v>
      </c>
      <c r="J794" s="9">
        <f t="shared" si="49"/>
        <v>1</v>
      </c>
      <c r="K794" s="10" t="str">
        <f t="shared" si="52"/>
        <v>S2R50B1</v>
      </c>
      <c r="L794" s="10" t="s">
        <v>1899</v>
      </c>
      <c r="M794" s="10">
        <f>IF(Table1[[#This Row],[ID ROW]]&lt;=12,Table1[[#This Row],[ID ROW]],Table1[[#This Row],[ID ROW]]+INT((Table1[[#This Row],[ID ROW]]-1)/12)*2)</f>
        <v>58</v>
      </c>
      <c r="N794" s="10" t="str">
        <f t="shared" si="51"/>
        <v>LSR58B1</v>
      </c>
      <c r="O794" s="10">
        <f>IF(Table1[[#This Row],[ID ROW]]&lt;=12,1,INT((Table1[[#This Row],[ID ROW]]-1)/12)+1)</f>
        <v>5</v>
      </c>
      <c r="P794" s="10">
        <f>Table1[[#This Row],[ID ROW]]-((Table1[[#This Row],[SECT]]-1)*12)</f>
        <v>2</v>
      </c>
    </row>
    <row r="795" spans="1:16" ht="15.75" customHeight="1" x14ac:dyDescent="0.25">
      <c r="A795" s="6" t="s">
        <v>2827</v>
      </c>
      <c r="B795" s="6" t="s">
        <v>2828</v>
      </c>
      <c r="C795" s="6" t="s">
        <v>2829</v>
      </c>
      <c r="F795" s="7" t="s">
        <v>2830</v>
      </c>
      <c r="G795" s="8">
        <v>272</v>
      </c>
      <c r="H795" s="21" t="s">
        <v>1898</v>
      </c>
      <c r="I795" s="9">
        <f t="shared" si="50"/>
        <v>50</v>
      </c>
      <c r="J795" s="9">
        <f t="shared" ref="J795:J858" si="53">IF(MOD(G795-1,11)&lt;6,(MOD(G795-1,11)+1-(5*FLOOR(MOD(G795-1,11),6))),(MOD(G795-1,11))-5)</f>
        <v>2</v>
      </c>
      <c r="K795" s="10" t="str">
        <f t="shared" si="52"/>
        <v>S2R50B2</v>
      </c>
      <c r="L795" s="10" t="s">
        <v>1899</v>
      </c>
      <c r="M795" s="10">
        <f>IF(Table1[[#This Row],[ID ROW]]&lt;=12,Table1[[#This Row],[ID ROW]],Table1[[#This Row],[ID ROW]]+INT((Table1[[#This Row],[ID ROW]]-1)/12)*2)</f>
        <v>58</v>
      </c>
      <c r="N795" s="10" t="str">
        <f t="shared" si="51"/>
        <v>LSR58B2</v>
      </c>
      <c r="O795" s="10">
        <f>IF(Table1[[#This Row],[ID ROW]]&lt;=12,1,INT((Table1[[#This Row],[ID ROW]]-1)/12)+1)</f>
        <v>5</v>
      </c>
      <c r="P795" s="10">
        <f>Table1[[#This Row],[ID ROW]]-((Table1[[#This Row],[SECT]]-1)*12)</f>
        <v>2</v>
      </c>
    </row>
    <row r="796" spans="1:16" ht="15.75" customHeight="1" x14ac:dyDescent="0.3">
      <c r="A796" s="6" t="s">
        <v>2831</v>
      </c>
      <c r="B796" s="6" t="s">
        <v>2832</v>
      </c>
      <c r="C796" s="6" t="s">
        <v>2829</v>
      </c>
      <c r="D796" s="6" t="s">
        <v>2833</v>
      </c>
      <c r="F796" s="13" t="s">
        <v>2830</v>
      </c>
      <c r="G796" s="8">
        <v>273</v>
      </c>
      <c r="H796" s="21" t="s">
        <v>1898</v>
      </c>
      <c r="I796" s="9">
        <f t="shared" ref="I796:I859" si="54">INT((G796-1)/11)*2 + IF(MOD(G796-1, 11) &lt; 6, 1, 2)</f>
        <v>50</v>
      </c>
      <c r="J796" s="9">
        <f t="shared" si="53"/>
        <v>3</v>
      </c>
      <c r="K796" s="10" t="str">
        <f t="shared" si="52"/>
        <v>S2R50B3</v>
      </c>
      <c r="L796" s="10" t="s">
        <v>1899</v>
      </c>
      <c r="M796" s="10">
        <f>IF(Table1[[#This Row],[ID ROW]]&lt;=12,Table1[[#This Row],[ID ROW]],Table1[[#This Row],[ID ROW]]+INT((Table1[[#This Row],[ID ROW]]-1)/12)*2)</f>
        <v>58</v>
      </c>
      <c r="N796" s="10" t="str">
        <f t="shared" ref="N796:N859" si="55">L796&amp;"R"&amp;M796&amp;"B"&amp;J796</f>
        <v>LSR58B3</v>
      </c>
      <c r="O796" s="10">
        <f>IF(Table1[[#This Row],[ID ROW]]&lt;=12,1,INT((Table1[[#This Row],[ID ROW]]-1)/12)+1)</f>
        <v>5</v>
      </c>
      <c r="P796" s="10">
        <f>Table1[[#This Row],[ID ROW]]-((Table1[[#This Row],[SECT]]-1)*12)</f>
        <v>2</v>
      </c>
    </row>
    <row r="797" spans="1:16" ht="15.75" customHeight="1" x14ac:dyDescent="0.25">
      <c r="A797" s="6" t="s">
        <v>2834</v>
      </c>
      <c r="B797" s="6" t="s">
        <v>1568</v>
      </c>
      <c r="C797" s="6" t="s">
        <v>67</v>
      </c>
      <c r="D797" s="6" t="s">
        <v>2835</v>
      </c>
      <c r="F797" s="7" t="s">
        <v>2830</v>
      </c>
      <c r="G797" s="8">
        <v>274</v>
      </c>
      <c r="H797" s="21" t="s">
        <v>1898</v>
      </c>
      <c r="I797" s="9">
        <f t="shared" si="54"/>
        <v>50</v>
      </c>
      <c r="J797" s="9">
        <f t="shared" si="53"/>
        <v>4</v>
      </c>
      <c r="K797" s="10" t="str">
        <f t="shared" si="52"/>
        <v>S2R50B4</v>
      </c>
      <c r="L797" s="10" t="s">
        <v>1899</v>
      </c>
      <c r="M797" s="10">
        <f>IF(Table1[[#This Row],[ID ROW]]&lt;=12,Table1[[#This Row],[ID ROW]],Table1[[#This Row],[ID ROW]]+INT((Table1[[#This Row],[ID ROW]]-1)/12)*2)</f>
        <v>58</v>
      </c>
      <c r="N797" s="10" t="str">
        <f t="shared" si="55"/>
        <v>LSR58B4</v>
      </c>
      <c r="O797" s="10">
        <f>IF(Table1[[#This Row],[ID ROW]]&lt;=12,1,INT((Table1[[#This Row],[ID ROW]]-1)/12)+1)</f>
        <v>5</v>
      </c>
      <c r="P797" s="10">
        <f>Table1[[#This Row],[ID ROW]]-((Table1[[#This Row],[SECT]]-1)*12)</f>
        <v>2</v>
      </c>
    </row>
    <row r="798" spans="1:16" ht="15.75" customHeight="1" x14ac:dyDescent="0.3">
      <c r="A798" s="6" t="s">
        <v>2836</v>
      </c>
      <c r="B798" s="6" t="s">
        <v>2837</v>
      </c>
      <c r="C798" s="6" t="s">
        <v>2838</v>
      </c>
      <c r="D798" s="6" t="s">
        <v>2839</v>
      </c>
      <c r="F798" s="13" t="s">
        <v>347</v>
      </c>
      <c r="G798" s="8">
        <v>275</v>
      </c>
      <c r="H798" s="21" t="s">
        <v>1898</v>
      </c>
      <c r="I798" s="9">
        <f t="shared" si="54"/>
        <v>50</v>
      </c>
      <c r="J798" s="9">
        <f t="shared" si="53"/>
        <v>5</v>
      </c>
      <c r="K798" s="10" t="str">
        <f t="shared" si="52"/>
        <v>S2R50B5</v>
      </c>
      <c r="L798" s="10" t="s">
        <v>1899</v>
      </c>
      <c r="M798" s="10">
        <f>IF(Table1[[#This Row],[ID ROW]]&lt;=12,Table1[[#This Row],[ID ROW]],Table1[[#This Row],[ID ROW]]+INT((Table1[[#This Row],[ID ROW]]-1)/12)*2)</f>
        <v>58</v>
      </c>
      <c r="N798" s="10" t="str">
        <f t="shared" si="55"/>
        <v>LSR58B5</v>
      </c>
      <c r="O798" s="10">
        <f>IF(Table1[[#This Row],[ID ROW]]&lt;=12,1,INT((Table1[[#This Row],[ID ROW]]-1)/12)+1)</f>
        <v>5</v>
      </c>
      <c r="P798" s="10">
        <f>Table1[[#This Row],[ID ROW]]-((Table1[[#This Row],[SECT]]-1)*12)</f>
        <v>2</v>
      </c>
    </row>
    <row r="799" spans="1:16" ht="15.75" customHeight="1" x14ac:dyDescent="0.25">
      <c r="A799" s="6" t="s">
        <v>2840</v>
      </c>
      <c r="B799" s="6" t="s">
        <v>2841</v>
      </c>
      <c r="C799" s="6" t="s">
        <v>2842</v>
      </c>
      <c r="D799" s="6" t="s">
        <v>2843</v>
      </c>
      <c r="F799" s="7" t="s">
        <v>82</v>
      </c>
      <c r="G799" s="8">
        <v>276</v>
      </c>
      <c r="H799" s="21" t="s">
        <v>1898</v>
      </c>
      <c r="I799" s="9">
        <f t="shared" si="54"/>
        <v>51</v>
      </c>
      <c r="J799" s="9">
        <f t="shared" si="53"/>
        <v>1</v>
      </c>
      <c r="K799" s="10" t="str">
        <f t="shared" si="52"/>
        <v>S2R51B1</v>
      </c>
      <c r="L799" s="10" t="s">
        <v>1899</v>
      </c>
      <c r="M799" s="10">
        <f>IF(Table1[[#This Row],[ID ROW]]&lt;=12,Table1[[#This Row],[ID ROW]],Table1[[#This Row],[ID ROW]]+INT((Table1[[#This Row],[ID ROW]]-1)/12)*2)</f>
        <v>59</v>
      </c>
      <c r="N799" s="10" t="str">
        <f t="shared" si="55"/>
        <v>LSR59B1</v>
      </c>
      <c r="O799" s="10">
        <f>IF(Table1[[#This Row],[ID ROW]]&lt;=12,1,INT((Table1[[#This Row],[ID ROW]]-1)/12)+1)</f>
        <v>5</v>
      </c>
      <c r="P799" s="10">
        <f>Table1[[#This Row],[ID ROW]]-((Table1[[#This Row],[SECT]]-1)*12)</f>
        <v>3</v>
      </c>
    </row>
    <row r="800" spans="1:16" ht="15.75" customHeight="1" x14ac:dyDescent="0.3">
      <c r="A800" s="6" t="s">
        <v>2844</v>
      </c>
      <c r="B800" s="6" t="s">
        <v>2845</v>
      </c>
      <c r="C800" s="6" t="s">
        <v>2846</v>
      </c>
      <c r="D800" s="6" t="s">
        <v>1847</v>
      </c>
      <c r="F800" s="13" t="s">
        <v>82</v>
      </c>
      <c r="G800" s="8">
        <v>277</v>
      </c>
      <c r="H800" s="21" t="s">
        <v>1898</v>
      </c>
      <c r="I800" s="9">
        <f t="shared" si="54"/>
        <v>51</v>
      </c>
      <c r="J800" s="9">
        <f t="shared" si="53"/>
        <v>2</v>
      </c>
      <c r="K800" s="10" t="str">
        <f t="shared" si="52"/>
        <v>S2R51B2</v>
      </c>
      <c r="L800" s="10" t="s">
        <v>1899</v>
      </c>
      <c r="M800" s="10">
        <f>IF(Table1[[#This Row],[ID ROW]]&lt;=12,Table1[[#This Row],[ID ROW]],Table1[[#This Row],[ID ROW]]+INT((Table1[[#This Row],[ID ROW]]-1)/12)*2)</f>
        <v>59</v>
      </c>
      <c r="N800" s="10" t="str">
        <f t="shared" si="55"/>
        <v>LSR59B2</v>
      </c>
      <c r="O800" s="10">
        <f>IF(Table1[[#This Row],[ID ROW]]&lt;=12,1,INT((Table1[[#This Row],[ID ROW]]-1)/12)+1)</f>
        <v>5</v>
      </c>
      <c r="P800" s="10">
        <f>Table1[[#This Row],[ID ROW]]-((Table1[[#This Row],[SECT]]-1)*12)</f>
        <v>3</v>
      </c>
    </row>
    <row r="801" spans="1:16" ht="15.75" customHeight="1" x14ac:dyDescent="0.25">
      <c r="A801" s="6" t="s">
        <v>2847</v>
      </c>
      <c r="B801" s="6" t="s">
        <v>1909</v>
      </c>
      <c r="C801" s="6" t="s">
        <v>2848</v>
      </c>
      <c r="D801" s="6" t="s">
        <v>2849</v>
      </c>
      <c r="F801" s="7" t="s">
        <v>82</v>
      </c>
      <c r="G801" s="8">
        <v>278</v>
      </c>
      <c r="H801" s="21" t="s">
        <v>1898</v>
      </c>
      <c r="I801" s="9">
        <f t="shared" si="54"/>
        <v>51</v>
      </c>
      <c r="J801" s="9">
        <f t="shared" si="53"/>
        <v>3</v>
      </c>
      <c r="K801" s="10" t="str">
        <f t="shared" si="52"/>
        <v>S2R51B3</v>
      </c>
      <c r="L801" s="10" t="s">
        <v>1899</v>
      </c>
      <c r="M801" s="10">
        <f>IF(Table1[[#This Row],[ID ROW]]&lt;=12,Table1[[#This Row],[ID ROW]],Table1[[#This Row],[ID ROW]]+INT((Table1[[#This Row],[ID ROW]]-1)/12)*2)</f>
        <v>59</v>
      </c>
      <c r="N801" s="10" t="str">
        <f t="shared" si="55"/>
        <v>LSR59B3</v>
      </c>
      <c r="O801" s="10">
        <f>IF(Table1[[#This Row],[ID ROW]]&lt;=12,1,INT((Table1[[#This Row],[ID ROW]]-1)/12)+1)</f>
        <v>5</v>
      </c>
      <c r="P801" s="10">
        <f>Table1[[#This Row],[ID ROW]]-((Table1[[#This Row],[SECT]]-1)*12)</f>
        <v>3</v>
      </c>
    </row>
    <row r="802" spans="1:16" ht="15.75" customHeight="1" x14ac:dyDescent="0.3">
      <c r="A802" s="6" t="s">
        <v>2850</v>
      </c>
      <c r="B802" s="6" t="s">
        <v>2851</v>
      </c>
      <c r="C802" s="6" t="s">
        <v>2852</v>
      </c>
      <c r="D802" s="6" t="s">
        <v>2853</v>
      </c>
      <c r="F802" s="13" t="s">
        <v>2854</v>
      </c>
      <c r="G802" s="8">
        <v>279</v>
      </c>
      <c r="H802" s="21" t="s">
        <v>1898</v>
      </c>
      <c r="I802" s="9">
        <f t="shared" si="54"/>
        <v>51</v>
      </c>
      <c r="J802" s="9">
        <f t="shared" si="53"/>
        <v>4</v>
      </c>
      <c r="K802" s="10" t="str">
        <f t="shared" si="52"/>
        <v>S2R51B4</v>
      </c>
      <c r="L802" s="10" t="s">
        <v>1899</v>
      </c>
      <c r="M802" s="10">
        <f>IF(Table1[[#This Row],[ID ROW]]&lt;=12,Table1[[#This Row],[ID ROW]],Table1[[#This Row],[ID ROW]]+INT((Table1[[#This Row],[ID ROW]]-1)/12)*2)</f>
        <v>59</v>
      </c>
      <c r="N802" s="10" t="str">
        <f t="shared" si="55"/>
        <v>LSR59B4</v>
      </c>
      <c r="O802" s="10">
        <f>IF(Table1[[#This Row],[ID ROW]]&lt;=12,1,INT((Table1[[#This Row],[ID ROW]]-1)/12)+1)</f>
        <v>5</v>
      </c>
      <c r="P802" s="10">
        <f>Table1[[#This Row],[ID ROW]]-((Table1[[#This Row],[SECT]]-1)*12)</f>
        <v>3</v>
      </c>
    </row>
    <row r="803" spans="1:16" ht="15.75" customHeight="1" x14ac:dyDescent="0.25">
      <c r="A803" s="6" t="s">
        <v>2855</v>
      </c>
      <c r="B803" s="6" t="s">
        <v>2856</v>
      </c>
      <c r="C803" s="6" t="s">
        <v>2857</v>
      </c>
      <c r="D803" s="6" t="s">
        <v>67</v>
      </c>
      <c r="F803" s="7" t="s">
        <v>2858</v>
      </c>
      <c r="G803" s="8">
        <v>280</v>
      </c>
      <c r="H803" s="21" t="s">
        <v>1898</v>
      </c>
      <c r="I803" s="9">
        <f t="shared" si="54"/>
        <v>51</v>
      </c>
      <c r="J803" s="9">
        <f t="shared" si="53"/>
        <v>5</v>
      </c>
      <c r="K803" s="10" t="str">
        <f t="shared" si="52"/>
        <v>S2R51B5</v>
      </c>
      <c r="L803" s="10" t="s">
        <v>1899</v>
      </c>
      <c r="M803" s="10">
        <f>IF(Table1[[#This Row],[ID ROW]]&lt;=12,Table1[[#This Row],[ID ROW]],Table1[[#This Row],[ID ROW]]+INT((Table1[[#This Row],[ID ROW]]-1)/12)*2)</f>
        <v>59</v>
      </c>
      <c r="N803" s="10" t="str">
        <f t="shared" si="55"/>
        <v>LSR59B5</v>
      </c>
      <c r="O803" s="10">
        <f>IF(Table1[[#This Row],[ID ROW]]&lt;=12,1,INT((Table1[[#This Row],[ID ROW]]-1)/12)+1)</f>
        <v>5</v>
      </c>
      <c r="P803" s="10">
        <f>Table1[[#This Row],[ID ROW]]-((Table1[[#This Row],[SECT]]-1)*12)</f>
        <v>3</v>
      </c>
    </row>
    <row r="804" spans="1:16" ht="15.75" customHeight="1" x14ac:dyDescent="0.3">
      <c r="A804" s="6" t="s">
        <v>2859</v>
      </c>
      <c r="B804" s="6" t="s">
        <v>2860</v>
      </c>
      <c r="C804" s="6" t="s">
        <v>2861</v>
      </c>
      <c r="D804" s="6" t="s">
        <v>991</v>
      </c>
      <c r="F804" s="13" t="s">
        <v>2862</v>
      </c>
      <c r="G804" s="8">
        <v>281</v>
      </c>
      <c r="H804" s="21" t="s">
        <v>1898</v>
      </c>
      <c r="I804" s="9">
        <f t="shared" si="54"/>
        <v>51</v>
      </c>
      <c r="J804" s="9">
        <f t="shared" si="53"/>
        <v>6</v>
      </c>
      <c r="K804" s="10" t="str">
        <f t="shared" si="52"/>
        <v>S2R51B6</v>
      </c>
      <c r="L804" s="10" t="s">
        <v>1899</v>
      </c>
      <c r="M804" s="10">
        <f>IF(Table1[[#This Row],[ID ROW]]&lt;=12,Table1[[#This Row],[ID ROW]],Table1[[#This Row],[ID ROW]]+INT((Table1[[#This Row],[ID ROW]]-1)/12)*2)</f>
        <v>59</v>
      </c>
      <c r="N804" s="10" t="str">
        <f t="shared" si="55"/>
        <v>LSR59B6</v>
      </c>
      <c r="O804" s="10">
        <f>IF(Table1[[#This Row],[ID ROW]]&lt;=12,1,INT((Table1[[#This Row],[ID ROW]]-1)/12)+1)</f>
        <v>5</v>
      </c>
      <c r="P804" s="10">
        <f>Table1[[#This Row],[ID ROW]]-((Table1[[#This Row],[SECT]]-1)*12)</f>
        <v>3</v>
      </c>
    </row>
    <row r="805" spans="1:16" ht="15.75" customHeight="1" x14ac:dyDescent="0.25">
      <c r="A805" s="6" t="s">
        <v>165</v>
      </c>
      <c r="B805" s="6" t="s">
        <v>2863</v>
      </c>
      <c r="C805" s="6" t="s">
        <v>120</v>
      </c>
      <c r="F805" s="7" t="s">
        <v>2864</v>
      </c>
      <c r="G805" s="8">
        <v>282</v>
      </c>
      <c r="H805" s="21" t="s">
        <v>1898</v>
      </c>
      <c r="I805" s="9">
        <f t="shared" si="54"/>
        <v>52</v>
      </c>
      <c r="J805" s="9">
        <f t="shared" si="53"/>
        <v>1</v>
      </c>
      <c r="K805" s="10" t="str">
        <f t="shared" si="52"/>
        <v>S2R52B1</v>
      </c>
      <c r="L805" s="10" t="s">
        <v>1899</v>
      </c>
      <c r="M805" s="10">
        <f>IF(Table1[[#This Row],[ID ROW]]&lt;=12,Table1[[#This Row],[ID ROW]],Table1[[#This Row],[ID ROW]]+INT((Table1[[#This Row],[ID ROW]]-1)/12)*2)</f>
        <v>60</v>
      </c>
      <c r="N805" s="10" t="str">
        <f t="shared" si="55"/>
        <v>LSR60B1</v>
      </c>
      <c r="O805" s="10">
        <f>IF(Table1[[#This Row],[ID ROW]]&lt;=12,1,INT((Table1[[#This Row],[ID ROW]]-1)/12)+1)</f>
        <v>5</v>
      </c>
      <c r="P805" s="10">
        <f>Table1[[#This Row],[ID ROW]]-((Table1[[#This Row],[SECT]]-1)*12)</f>
        <v>4</v>
      </c>
    </row>
    <row r="806" spans="1:16" ht="15.75" customHeight="1" x14ac:dyDescent="0.3">
      <c r="A806" s="6" t="s">
        <v>2865</v>
      </c>
      <c r="B806" s="6" t="s">
        <v>731</v>
      </c>
      <c r="C806" s="6" t="s">
        <v>2416</v>
      </c>
      <c r="F806" s="13" t="s">
        <v>2731</v>
      </c>
      <c r="G806" s="8">
        <v>283</v>
      </c>
      <c r="H806" s="21" t="s">
        <v>1898</v>
      </c>
      <c r="I806" s="9">
        <f t="shared" si="54"/>
        <v>52</v>
      </c>
      <c r="J806" s="9">
        <f t="shared" si="53"/>
        <v>2</v>
      </c>
      <c r="K806" s="10" t="str">
        <f t="shared" si="52"/>
        <v>S2R52B2</v>
      </c>
      <c r="L806" s="10" t="s">
        <v>1899</v>
      </c>
      <c r="M806" s="10">
        <f>IF(Table1[[#This Row],[ID ROW]]&lt;=12,Table1[[#This Row],[ID ROW]],Table1[[#This Row],[ID ROW]]+INT((Table1[[#This Row],[ID ROW]]-1)/12)*2)</f>
        <v>60</v>
      </c>
      <c r="N806" s="10" t="str">
        <f t="shared" si="55"/>
        <v>LSR60B2</v>
      </c>
      <c r="O806" s="10">
        <f>IF(Table1[[#This Row],[ID ROW]]&lt;=12,1,INT((Table1[[#This Row],[ID ROW]]-1)/12)+1)</f>
        <v>5</v>
      </c>
      <c r="P806" s="10">
        <f>Table1[[#This Row],[ID ROW]]-((Table1[[#This Row],[SECT]]-1)*12)</f>
        <v>4</v>
      </c>
    </row>
    <row r="807" spans="1:16" ht="15.75" customHeight="1" x14ac:dyDescent="0.25">
      <c r="A807" s="6" t="s">
        <v>2866</v>
      </c>
      <c r="B807" s="6" t="s">
        <v>2867</v>
      </c>
      <c r="C807" s="6" t="s">
        <v>207</v>
      </c>
      <c r="D807" s="6" t="s">
        <v>2868</v>
      </c>
      <c r="F807" s="7" t="s">
        <v>2869</v>
      </c>
      <c r="G807" s="8">
        <v>284</v>
      </c>
      <c r="H807" s="21" t="s">
        <v>1898</v>
      </c>
      <c r="I807" s="9">
        <f t="shared" si="54"/>
        <v>52</v>
      </c>
      <c r="J807" s="9">
        <f t="shared" si="53"/>
        <v>3</v>
      </c>
      <c r="K807" s="10" t="str">
        <f t="shared" si="52"/>
        <v>S2R52B3</v>
      </c>
      <c r="L807" s="10" t="s">
        <v>1899</v>
      </c>
      <c r="M807" s="10">
        <f>IF(Table1[[#This Row],[ID ROW]]&lt;=12,Table1[[#This Row],[ID ROW]],Table1[[#This Row],[ID ROW]]+INT((Table1[[#This Row],[ID ROW]]-1)/12)*2)</f>
        <v>60</v>
      </c>
      <c r="N807" s="10" t="str">
        <f t="shared" si="55"/>
        <v>LSR60B3</v>
      </c>
      <c r="O807" s="10">
        <f>IF(Table1[[#This Row],[ID ROW]]&lt;=12,1,INT((Table1[[#This Row],[ID ROW]]-1)/12)+1)</f>
        <v>5</v>
      </c>
      <c r="P807" s="10">
        <f>Table1[[#This Row],[ID ROW]]-((Table1[[#This Row],[SECT]]-1)*12)</f>
        <v>4</v>
      </c>
    </row>
    <row r="808" spans="1:16" ht="15.75" customHeight="1" x14ac:dyDescent="0.3">
      <c r="A808" s="6" t="s">
        <v>2870</v>
      </c>
      <c r="B808" s="6" t="s">
        <v>2871</v>
      </c>
      <c r="C808" s="6" t="s">
        <v>2872</v>
      </c>
      <c r="F808" s="13" t="s">
        <v>2873</v>
      </c>
      <c r="G808" s="8">
        <v>285</v>
      </c>
      <c r="H808" s="21" t="s">
        <v>1898</v>
      </c>
      <c r="I808" s="9">
        <f t="shared" si="54"/>
        <v>52</v>
      </c>
      <c r="J808" s="9">
        <f t="shared" si="53"/>
        <v>4</v>
      </c>
      <c r="K808" s="10" t="str">
        <f t="shared" si="52"/>
        <v>S2R52B4</v>
      </c>
      <c r="L808" s="10" t="s">
        <v>1899</v>
      </c>
      <c r="M808" s="10">
        <f>IF(Table1[[#This Row],[ID ROW]]&lt;=12,Table1[[#This Row],[ID ROW]],Table1[[#This Row],[ID ROW]]+INT((Table1[[#This Row],[ID ROW]]-1)/12)*2)</f>
        <v>60</v>
      </c>
      <c r="N808" s="10" t="str">
        <f t="shared" si="55"/>
        <v>LSR60B4</v>
      </c>
      <c r="O808" s="10">
        <f>IF(Table1[[#This Row],[ID ROW]]&lt;=12,1,INT((Table1[[#This Row],[ID ROW]]-1)/12)+1)</f>
        <v>5</v>
      </c>
      <c r="P808" s="10">
        <f>Table1[[#This Row],[ID ROW]]-((Table1[[#This Row],[SECT]]-1)*12)</f>
        <v>4</v>
      </c>
    </row>
    <row r="809" spans="1:16" ht="15.75" customHeight="1" x14ac:dyDescent="0.25">
      <c r="A809" s="6" t="s">
        <v>2874</v>
      </c>
      <c r="B809" s="6" t="s">
        <v>2875</v>
      </c>
      <c r="C809" s="6" t="s">
        <v>2876</v>
      </c>
      <c r="D809" s="6" t="s">
        <v>2877</v>
      </c>
      <c r="F809" s="7" t="s">
        <v>2878</v>
      </c>
      <c r="G809" s="8">
        <v>286</v>
      </c>
      <c r="H809" s="21" t="s">
        <v>1898</v>
      </c>
      <c r="I809" s="9">
        <f t="shared" si="54"/>
        <v>52</v>
      </c>
      <c r="J809" s="9">
        <f t="shared" si="53"/>
        <v>5</v>
      </c>
      <c r="K809" s="10" t="str">
        <f t="shared" si="52"/>
        <v>S2R52B5</v>
      </c>
      <c r="L809" s="10" t="s">
        <v>1899</v>
      </c>
      <c r="M809" s="10">
        <f>IF(Table1[[#This Row],[ID ROW]]&lt;=12,Table1[[#This Row],[ID ROW]],Table1[[#This Row],[ID ROW]]+INT((Table1[[#This Row],[ID ROW]]-1)/12)*2)</f>
        <v>60</v>
      </c>
      <c r="N809" s="10" t="str">
        <f t="shared" si="55"/>
        <v>LSR60B5</v>
      </c>
      <c r="O809" s="10">
        <f>IF(Table1[[#This Row],[ID ROW]]&lt;=12,1,INT((Table1[[#This Row],[ID ROW]]-1)/12)+1)</f>
        <v>5</v>
      </c>
      <c r="P809" s="10">
        <f>Table1[[#This Row],[ID ROW]]-((Table1[[#This Row],[SECT]]-1)*12)</f>
        <v>4</v>
      </c>
    </row>
    <row r="810" spans="1:16" ht="15.75" customHeight="1" x14ac:dyDescent="0.3">
      <c r="A810" s="6" t="s">
        <v>2879</v>
      </c>
      <c r="B810" s="6" t="s">
        <v>2880</v>
      </c>
      <c r="C810" s="6" t="s">
        <v>2881</v>
      </c>
      <c r="D810" s="6" t="s">
        <v>2882</v>
      </c>
      <c r="F810" s="13" t="s">
        <v>2883</v>
      </c>
      <c r="G810" s="8">
        <v>287</v>
      </c>
      <c r="H810" s="21" t="s">
        <v>1898</v>
      </c>
      <c r="I810" s="9">
        <f t="shared" si="54"/>
        <v>53</v>
      </c>
      <c r="J810" s="9">
        <f t="shared" si="53"/>
        <v>1</v>
      </c>
      <c r="K810" s="10" t="str">
        <f t="shared" si="52"/>
        <v>S2R53B1</v>
      </c>
      <c r="L810" s="10" t="s">
        <v>1899</v>
      </c>
      <c r="M810" s="10">
        <f>IF(Table1[[#This Row],[ID ROW]]&lt;=12,Table1[[#This Row],[ID ROW]],Table1[[#This Row],[ID ROW]]+INT((Table1[[#This Row],[ID ROW]]-1)/12)*2)</f>
        <v>61</v>
      </c>
      <c r="N810" s="10" t="str">
        <f t="shared" si="55"/>
        <v>LSR61B1</v>
      </c>
      <c r="O810" s="10">
        <f>IF(Table1[[#This Row],[ID ROW]]&lt;=12,1,INT((Table1[[#This Row],[ID ROW]]-1)/12)+1)</f>
        <v>5</v>
      </c>
      <c r="P810" s="10">
        <f>Table1[[#This Row],[ID ROW]]-((Table1[[#This Row],[SECT]]-1)*12)</f>
        <v>5</v>
      </c>
    </row>
    <row r="811" spans="1:16" ht="15.75" customHeight="1" x14ac:dyDescent="0.25">
      <c r="A811" s="6" t="s">
        <v>2884</v>
      </c>
      <c r="B811" s="6" t="s">
        <v>2885</v>
      </c>
      <c r="C811" s="6" t="s">
        <v>2886</v>
      </c>
      <c r="D811" s="6" t="s">
        <v>2887</v>
      </c>
      <c r="F811" s="7" t="s">
        <v>2888</v>
      </c>
      <c r="G811" s="8">
        <v>288</v>
      </c>
      <c r="H811" s="21" t="s">
        <v>1898</v>
      </c>
      <c r="I811" s="9">
        <f t="shared" si="54"/>
        <v>53</v>
      </c>
      <c r="J811" s="9">
        <f t="shared" si="53"/>
        <v>2</v>
      </c>
      <c r="K811" s="10" t="str">
        <f t="shared" si="52"/>
        <v>S2R53B2</v>
      </c>
      <c r="L811" s="10" t="s">
        <v>1899</v>
      </c>
      <c r="M811" s="10">
        <f>IF(Table1[[#This Row],[ID ROW]]&lt;=12,Table1[[#This Row],[ID ROW]],Table1[[#This Row],[ID ROW]]+INT((Table1[[#This Row],[ID ROW]]-1)/12)*2)</f>
        <v>61</v>
      </c>
      <c r="N811" s="10" t="str">
        <f t="shared" si="55"/>
        <v>LSR61B2</v>
      </c>
      <c r="O811" s="10">
        <f>IF(Table1[[#This Row],[ID ROW]]&lt;=12,1,INT((Table1[[#This Row],[ID ROW]]-1)/12)+1)</f>
        <v>5</v>
      </c>
      <c r="P811" s="10">
        <f>Table1[[#This Row],[ID ROW]]-((Table1[[#This Row],[SECT]]-1)*12)</f>
        <v>5</v>
      </c>
    </row>
    <row r="812" spans="1:16" ht="15.75" customHeight="1" x14ac:dyDescent="0.3">
      <c r="A812" s="6" t="s">
        <v>2889</v>
      </c>
      <c r="B812" s="6" t="s">
        <v>2890</v>
      </c>
      <c r="C812" s="6" t="s">
        <v>2891</v>
      </c>
      <c r="D812" s="6" t="s">
        <v>2892</v>
      </c>
      <c r="F812" s="13" t="s">
        <v>2893</v>
      </c>
      <c r="G812" s="8">
        <v>289</v>
      </c>
      <c r="H812" s="21" t="s">
        <v>1898</v>
      </c>
      <c r="I812" s="9">
        <f t="shared" si="54"/>
        <v>53</v>
      </c>
      <c r="J812" s="9">
        <f t="shared" si="53"/>
        <v>3</v>
      </c>
      <c r="K812" s="10" t="str">
        <f t="shared" si="52"/>
        <v>S2R53B3</v>
      </c>
      <c r="L812" s="10" t="s">
        <v>1899</v>
      </c>
      <c r="M812" s="10">
        <f>IF(Table1[[#This Row],[ID ROW]]&lt;=12,Table1[[#This Row],[ID ROW]],Table1[[#This Row],[ID ROW]]+INT((Table1[[#This Row],[ID ROW]]-1)/12)*2)</f>
        <v>61</v>
      </c>
      <c r="N812" s="10" t="str">
        <f t="shared" si="55"/>
        <v>LSR61B3</v>
      </c>
      <c r="O812" s="10">
        <f>IF(Table1[[#This Row],[ID ROW]]&lt;=12,1,INT((Table1[[#This Row],[ID ROW]]-1)/12)+1)</f>
        <v>5</v>
      </c>
      <c r="P812" s="10">
        <f>Table1[[#This Row],[ID ROW]]-((Table1[[#This Row],[SECT]]-1)*12)</f>
        <v>5</v>
      </c>
    </row>
    <row r="813" spans="1:16" ht="15.75" customHeight="1" x14ac:dyDescent="0.25">
      <c r="A813" s="6" t="s">
        <v>2894</v>
      </c>
      <c r="B813" s="6" t="s">
        <v>2895</v>
      </c>
      <c r="C813" s="6" t="s">
        <v>2896</v>
      </c>
      <c r="D813" s="6" t="s">
        <v>2568</v>
      </c>
      <c r="F813" s="7" t="s">
        <v>2897</v>
      </c>
      <c r="G813" s="8">
        <v>290</v>
      </c>
      <c r="H813" s="21" t="s">
        <v>1898</v>
      </c>
      <c r="I813" s="9">
        <f t="shared" si="54"/>
        <v>53</v>
      </c>
      <c r="J813" s="9">
        <f t="shared" si="53"/>
        <v>4</v>
      </c>
      <c r="K813" s="10" t="str">
        <f t="shared" si="52"/>
        <v>S2R53B4</v>
      </c>
      <c r="L813" s="10" t="s">
        <v>1899</v>
      </c>
      <c r="M813" s="10">
        <f>IF(Table1[[#This Row],[ID ROW]]&lt;=12,Table1[[#This Row],[ID ROW]],Table1[[#This Row],[ID ROW]]+INT((Table1[[#This Row],[ID ROW]]-1)/12)*2)</f>
        <v>61</v>
      </c>
      <c r="N813" s="10" t="str">
        <f t="shared" si="55"/>
        <v>LSR61B4</v>
      </c>
      <c r="O813" s="10">
        <f>IF(Table1[[#This Row],[ID ROW]]&lt;=12,1,INT((Table1[[#This Row],[ID ROW]]-1)/12)+1)</f>
        <v>5</v>
      </c>
      <c r="P813" s="10">
        <f>Table1[[#This Row],[ID ROW]]-((Table1[[#This Row],[SECT]]-1)*12)</f>
        <v>5</v>
      </c>
    </row>
    <row r="814" spans="1:16" ht="15.75" customHeight="1" x14ac:dyDescent="0.3">
      <c r="A814" s="6" t="s">
        <v>2898</v>
      </c>
      <c r="B814" s="6" t="s">
        <v>2899</v>
      </c>
      <c r="C814" s="6" t="s">
        <v>2900</v>
      </c>
      <c r="D814" s="6" t="s">
        <v>2901</v>
      </c>
      <c r="F814" s="13" t="s">
        <v>2902</v>
      </c>
      <c r="G814" s="8">
        <v>291</v>
      </c>
      <c r="H814" s="21" t="s">
        <v>1898</v>
      </c>
      <c r="I814" s="9">
        <f t="shared" si="54"/>
        <v>53</v>
      </c>
      <c r="J814" s="9">
        <f t="shared" si="53"/>
        <v>5</v>
      </c>
      <c r="K814" s="10" t="str">
        <f t="shared" si="52"/>
        <v>S2R53B5</v>
      </c>
      <c r="L814" s="10" t="s">
        <v>1899</v>
      </c>
      <c r="M814" s="10">
        <f>IF(Table1[[#This Row],[ID ROW]]&lt;=12,Table1[[#This Row],[ID ROW]],Table1[[#This Row],[ID ROW]]+INT((Table1[[#This Row],[ID ROW]]-1)/12)*2)</f>
        <v>61</v>
      </c>
      <c r="N814" s="10" t="str">
        <f t="shared" si="55"/>
        <v>LSR61B5</v>
      </c>
      <c r="O814" s="10">
        <f>IF(Table1[[#This Row],[ID ROW]]&lt;=12,1,INT((Table1[[#This Row],[ID ROW]]-1)/12)+1)</f>
        <v>5</v>
      </c>
      <c r="P814" s="10">
        <f>Table1[[#This Row],[ID ROW]]-((Table1[[#This Row],[SECT]]-1)*12)</f>
        <v>5</v>
      </c>
    </row>
    <row r="815" spans="1:16" ht="15.75" customHeight="1" x14ac:dyDescent="0.25">
      <c r="A815" s="6" t="s">
        <v>2903</v>
      </c>
      <c r="B815" s="6" t="s">
        <v>2904</v>
      </c>
      <c r="C815" s="6" t="s">
        <v>2905</v>
      </c>
      <c r="D815" s="6" t="s">
        <v>2906</v>
      </c>
      <c r="F815" s="7" t="s">
        <v>2907</v>
      </c>
      <c r="G815" s="8">
        <v>292</v>
      </c>
      <c r="H815" s="21" t="s">
        <v>1898</v>
      </c>
      <c r="I815" s="9">
        <f t="shared" si="54"/>
        <v>53</v>
      </c>
      <c r="J815" s="9">
        <f t="shared" si="53"/>
        <v>6</v>
      </c>
      <c r="K815" s="10" t="str">
        <f t="shared" si="52"/>
        <v>S2R53B6</v>
      </c>
      <c r="L815" s="10" t="s">
        <v>1899</v>
      </c>
      <c r="M815" s="10">
        <f>IF(Table1[[#This Row],[ID ROW]]&lt;=12,Table1[[#This Row],[ID ROW]],Table1[[#This Row],[ID ROW]]+INT((Table1[[#This Row],[ID ROW]]-1)/12)*2)</f>
        <v>61</v>
      </c>
      <c r="N815" s="10" t="str">
        <f t="shared" si="55"/>
        <v>LSR61B6</v>
      </c>
      <c r="O815" s="10">
        <f>IF(Table1[[#This Row],[ID ROW]]&lt;=12,1,INT((Table1[[#This Row],[ID ROW]]-1)/12)+1)</f>
        <v>5</v>
      </c>
      <c r="P815" s="10">
        <f>Table1[[#This Row],[ID ROW]]-((Table1[[#This Row],[SECT]]-1)*12)</f>
        <v>5</v>
      </c>
    </row>
    <row r="816" spans="1:16" ht="15.75" customHeight="1" x14ac:dyDescent="0.3">
      <c r="A816" s="6" t="s">
        <v>2908</v>
      </c>
      <c r="B816" s="6" t="s">
        <v>2909</v>
      </c>
      <c r="C816" s="6" t="s">
        <v>2910</v>
      </c>
      <c r="F816" s="13" t="s">
        <v>2141</v>
      </c>
      <c r="G816" s="8">
        <v>293</v>
      </c>
      <c r="H816" s="21" t="s">
        <v>1898</v>
      </c>
      <c r="I816" s="9">
        <f t="shared" si="54"/>
        <v>54</v>
      </c>
      <c r="J816" s="9">
        <f t="shared" si="53"/>
        <v>1</v>
      </c>
      <c r="K816" s="10" t="str">
        <f t="shared" si="52"/>
        <v>S2R54B1</v>
      </c>
      <c r="L816" s="10" t="s">
        <v>1899</v>
      </c>
      <c r="M816" s="10">
        <f>IF(Table1[[#This Row],[ID ROW]]&lt;=12,Table1[[#This Row],[ID ROW]],Table1[[#This Row],[ID ROW]]+INT((Table1[[#This Row],[ID ROW]]-1)/12)*2)</f>
        <v>62</v>
      </c>
      <c r="N816" s="10" t="str">
        <f t="shared" si="55"/>
        <v>LSR62B1</v>
      </c>
      <c r="O816" s="10">
        <f>IF(Table1[[#This Row],[ID ROW]]&lt;=12,1,INT((Table1[[#This Row],[ID ROW]]-1)/12)+1)</f>
        <v>5</v>
      </c>
      <c r="P816" s="10">
        <f>Table1[[#This Row],[ID ROW]]-((Table1[[#This Row],[SECT]]-1)*12)</f>
        <v>6</v>
      </c>
    </row>
    <row r="817" spans="1:16" ht="15.75" customHeight="1" x14ac:dyDescent="0.25">
      <c r="A817" s="6" t="s">
        <v>2911</v>
      </c>
      <c r="B817" s="6" t="s">
        <v>2912</v>
      </c>
      <c r="C817" s="6" t="s">
        <v>2913</v>
      </c>
      <c r="D817" s="6" t="s">
        <v>2914</v>
      </c>
      <c r="F817" s="7" t="s">
        <v>2915</v>
      </c>
      <c r="G817" s="8">
        <v>294</v>
      </c>
      <c r="H817" s="21" t="s">
        <v>1898</v>
      </c>
      <c r="I817" s="9">
        <f t="shared" si="54"/>
        <v>54</v>
      </c>
      <c r="J817" s="9">
        <f t="shared" si="53"/>
        <v>2</v>
      </c>
      <c r="K817" s="10" t="str">
        <f t="shared" si="52"/>
        <v>S2R54B2</v>
      </c>
      <c r="L817" s="10" t="s">
        <v>1899</v>
      </c>
      <c r="M817" s="10">
        <f>IF(Table1[[#This Row],[ID ROW]]&lt;=12,Table1[[#This Row],[ID ROW]],Table1[[#This Row],[ID ROW]]+INT((Table1[[#This Row],[ID ROW]]-1)/12)*2)</f>
        <v>62</v>
      </c>
      <c r="N817" s="10" t="str">
        <f t="shared" si="55"/>
        <v>LSR62B2</v>
      </c>
      <c r="O817" s="10">
        <f>IF(Table1[[#This Row],[ID ROW]]&lt;=12,1,INT((Table1[[#This Row],[ID ROW]]-1)/12)+1)</f>
        <v>5</v>
      </c>
      <c r="P817" s="10">
        <f>Table1[[#This Row],[ID ROW]]-((Table1[[#This Row],[SECT]]-1)*12)</f>
        <v>6</v>
      </c>
    </row>
    <row r="818" spans="1:16" ht="15.75" customHeight="1" x14ac:dyDescent="0.3">
      <c r="A818" s="6" t="s">
        <v>2916</v>
      </c>
      <c r="B818" s="6" t="s">
        <v>2917</v>
      </c>
      <c r="C818" s="6" t="s">
        <v>207</v>
      </c>
      <c r="F818" s="13" t="s">
        <v>2918</v>
      </c>
      <c r="G818" s="8">
        <v>295</v>
      </c>
      <c r="H818" s="21" t="s">
        <v>1898</v>
      </c>
      <c r="I818" s="9">
        <f t="shared" si="54"/>
        <v>54</v>
      </c>
      <c r="J818" s="9">
        <f t="shared" si="53"/>
        <v>3</v>
      </c>
      <c r="K818" s="10" t="str">
        <f t="shared" si="52"/>
        <v>S2R54B3</v>
      </c>
      <c r="L818" s="10" t="s">
        <v>1899</v>
      </c>
      <c r="M818" s="10">
        <f>IF(Table1[[#This Row],[ID ROW]]&lt;=12,Table1[[#This Row],[ID ROW]],Table1[[#This Row],[ID ROW]]+INT((Table1[[#This Row],[ID ROW]]-1)/12)*2)</f>
        <v>62</v>
      </c>
      <c r="N818" s="10" t="str">
        <f t="shared" si="55"/>
        <v>LSR62B3</v>
      </c>
      <c r="O818" s="10">
        <f>IF(Table1[[#This Row],[ID ROW]]&lt;=12,1,INT((Table1[[#This Row],[ID ROW]]-1)/12)+1)</f>
        <v>5</v>
      </c>
      <c r="P818" s="10">
        <f>Table1[[#This Row],[ID ROW]]-((Table1[[#This Row],[SECT]]-1)*12)</f>
        <v>6</v>
      </c>
    </row>
    <row r="819" spans="1:16" ht="15.75" customHeight="1" x14ac:dyDescent="0.25">
      <c r="A819" s="6" t="s">
        <v>2919</v>
      </c>
      <c r="B819" s="6" t="s">
        <v>2920</v>
      </c>
      <c r="C819" s="6" t="s">
        <v>2921</v>
      </c>
      <c r="F819" s="7" t="s">
        <v>2922</v>
      </c>
      <c r="G819" s="8">
        <v>296</v>
      </c>
      <c r="H819" s="21" t="s">
        <v>1898</v>
      </c>
      <c r="I819" s="9">
        <f t="shared" si="54"/>
        <v>54</v>
      </c>
      <c r="J819" s="9">
        <f t="shared" si="53"/>
        <v>4</v>
      </c>
      <c r="K819" s="10" t="str">
        <f t="shared" si="52"/>
        <v>S2R54B4</v>
      </c>
      <c r="L819" s="10" t="s">
        <v>1899</v>
      </c>
      <c r="M819" s="10">
        <f>IF(Table1[[#This Row],[ID ROW]]&lt;=12,Table1[[#This Row],[ID ROW]],Table1[[#This Row],[ID ROW]]+INT((Table1[[#This Row],[ID ROW]]-1)/12)*2)</f>
        <v>62</v>
      </c>
      <c r="N819" s="10" t="str">
        <f t="shared" si="55"/>
        <v>LSR62B4</v>
      </c>
      <c r="O819" s="10">
        <f>IF(Table1[[#This Row],[ID ROW]]&lt;=12,1,INT((Table1[[#This Row],[ID ROW]]-1)/12)+1)</f>
        <v>5</v>
      </c>
      <c r="P819" s="10">
        <f>Table1[[#This Row],[ID ROW]]-((Table1[[#This Row],[SECT]]-1)*12)</f>
        <v>6</v>
      </c>
    </row>
    <row r="820" spans="1:16" ht="15.75" customHeight="1" x14ac:dyDescent="0.3">
      <c r="A820" s="6" t="s">
        <v>2923</v>
      </c>
      <c r="B820" s="6" t="s">
        <v>2924</v>
      </c>
      <c r="C820" s="6" t="s">
        <v>2925</v>
      </c>
      <c r="F820" s="13" t="s">
        <v>1116</v>
      </c>
      <c r="G820" s="8">
        <v>297</v>
      </c>
      <c r="H820" s="21" t="s">
        <v>1898</v>
      </c>
      <c r="I820" s="9">
        <f t="shared" si="54"/>
        <v>54</v>
      </c>
      <c r="J820" s="9">
        <f t="shared" si="53"/>
        <v>5</v>
      </c>
      <c r="K820" s="10" t="str">
        <f t="shared" si="52"/>
        <v>S2R54B5</v>
      </c>
      <c r="L820" s="10" t="s">
        <v>1899</v>
      </c>
      <c r="M820" s="10">
        <f>IF(Table1[[#This Row],[ID ROW]]&lt;=12,Table1[[#This Row],[ID ROW]],Table1[[#This Row],[ID ROW]]+INT((Table1[[#This Row],[ID ROW]]-1)/12)*2)</f>
        <v>62</v>
      </c>
      <c r="N820" s="10" t="str">
        <f t="shared" si="55"/>
        <v>LSR62B5</v>
      </c>
      <c r="O820" s="10">
        <f>IF(Table1[[#This Row],[ID ROW]]&lt;=12,1,INT((Table1[[#This Row],[ID ROW]]-1)/12)+1)</f>
        <v>5</v>
      </c>
      <c r="P820" s="10">
        <f>Table1[[#This Row],[ID ROW]]-((Table1[[#This Row],[SECT]]-1)*12)</f>
        <v>6</v>
      </c>
    </row>
    <row r="821" spans="1:16" ht="15.75" customHeight="1" x14ac:dyDescent="0.25">
      <c r="A821" s="6" t="s">
        <v>2926</v>
      </c>
      <c r="B821" s="6" t="s">
        <v>2927</v>
      </c>
      <c r="C821" s="6" t="s">
        <v>2928</v>
      </c>
      <c r="D821" s="6" t="s">
        <v>2929</v>
      </c>
      <c r="F821" s="7" t="s">
        <v>2930</v>
      </c>
      <c r="G821" s="8">
        <v>298</v>
      </c>
      <c r="H821" s="21" t="s">
        <v>1898</v>
      </c>
      <c r="I821" s="9">
        <f t="shared" si="54"/>
        <v>55</v>
      </c>
      <c r="J821" s="9">
        <f t="shared" si="53"/>
        <v>1</v>
      </c>
      <c r="K821" s="10" t="str">
        <f t="shared" si="52"/>
        <v>S2R55B1</v>
      </c>
      <c r="L821" s="10" t="s">
        <v>1899</v>
      </c>
      <c r="M821" s="10">
        <f>IF(Table1[[#This Row],[ID ROW]]&lt;=12,Table1[[#This Row],[ID ROW]],Table1[[#This Row],[ID ROW]]+INT((Table1[[#This Row],[ID ROW]]-1)/12)*2)</f>
        <v>63</v>
      </c>
      <c r="N821" s="10" t="str">
        <f t="shared" si="55"/>
        <v>LSR63B1</v>
      </c>
      <c r="O821" s="10">
        <f>IF(Table1[[#This Row],[ID ROW]]&lt;=12,1,INT((Table1[[#This Row],[ID ROW]]-1)/12)+1)</f>
        <v>5</v>
      </c>
      <c r="P821" s="10">
        <f>Table1[[#This Row],[ID ROW]]-((Table1[[#This Row],[SECT]]-1)*12)</f>
        <v>7</v>
      </c>
    </row>
    <row r="822" spans="1:16" ht="15.75" customHeight="1" x14ac:dyDescent="0.3">
      <c r="A822" s="6" t="s">
        <v>2931</v>
      </c>
      <c r="B822" s="6" t="s">
        <v>120</v>
      </c>
      <c r="C822" s="6" t="s">
        <v>2839</v>
      </c>
      <c r="F822" s="13" t="s">
        <v>2930</v>
      </c>
      <c r="G822" s="8">
        <v>299</v>
      </c>
      <c r="H822" s="21" t="s">
        <v>1898</v>
      </c>
      <c r="I822" s="9">
        <f t="shared" si="54"/>
        <v>55</v>
      </c>
      <c r="J822" s="9">
        <f t="shared" si="53"/>
        <v>2</v>
      </c>
      <c r="K822" s="10" t="str">
        <f t="shared" si="52"/>
        <v>S2R55B2</v>
      </c>
      <c r="L822" s="10" t="s">
        <v>1899</v>
      </c>
      <c r="M822" s="10">
        <f>IF(Table1[[#This Row],[ID ROW]]&lt;=12,Table1[[#This Row],[ID ROW]],Table1[[#This Row],[ID ROW]]+INT((Table1[[#This Row],[ID ROW]]-1)/12)*2)</f>
        <v>63</v>
      </c>
      <c r="N822" s="10" t="str">
        <f t="shared" si="55"/>
        <v>LSR63B2</v>
      </c>
      <c r="O822" s="10">
        <f>IF(Table1[[#This Row],[ID ROW]]&lt;=12,1,INT((Table1[[#This Row],[ID ROW]]-1)/12)+1)</f>
        <v>5</v>
      </c>
      <c r="P822" s="10">
        <f>Table1[[#This Row],[ID ROW]]-((Table1[[#This Row],[SECT]]-1)*12)</f>
        <v>7</v>
      </c>
    </row>
    <row r="823" spans="1:16" ht="15.75" customHeight="1" x14ac:dyDescent="0.25">
      <c r="A823" s="6" t="s">
        <v>2932</v>
      </c>
      <c r="B823" s="6" t="s">
        <v>2933</v>
      </c>
      <c r="C823" s="6" t="s">
        <v>2934</v>
      </c>
      <c r="D823" s="6" t="s">
        <v>2935</v>
      </c>
      <c r="F823" s="7" t="s">
        <v>2936</v>
      </c>
      <c r="G823" s="8">
        <v>300</v>
      </c>
      <c r="H823" s="21" t="s">
        <v>1898</v>
      </c>
      <c r="I823" s="9">
        <f t="shared" si="54"/>
        <v>55</v>
      </c>
      <c r="J823" s="9">
        <f t="shared" si="53"/>
        <v>3</v>
      </c>
      <c r="K823" s="10" t="str">
        <f t="shared" si="52"/>
        <v>S2R55B3</v>
      </c>
      <c r="L823" s="10" t="s">
        <v>1899</v>
      </c>
      <c r="M823" s="10">
        <f>IF(Table1[[#This Row],[ID ROW]]&lt;=12,Table1[[#This Row],[ID ROW]],Table1[[#This Row],[ID ROW]]+INT((Table1[[#This Row],[ID ROW]]-1)/12)*2)</f>
        <v>63</v>
      </c>
      <c r="N823" s="10" t="str">
        <f t="shared" si="55"/>
        <v>LSR63B3</v>
      </c>
      <c r="O823" s="10">
        <f>IF(Table1[[#This Row],[ID ROW]]&lt;=12,1,INT((Table1[[#This Row],[ID ROW]]-1)/12)+1)</f>
        <v>5</v>
      </c>
      <c r="P823" s="10">
        <f>Table1[[#This Row],[ID ROW]]-((Table1[[#This Row],[SECT]]-1)*12)</f>
        <v>7</v>
      </c>
    </row>
    <row r="824" spans="1:16" ht="15.75" customHeight="1" x14ac:dyDescent="0.3">
      <c r="A824" s="6" t="s">
        <v>2937</v>
      </c>
      <c r="B824" s="6" t="s">
        <v>2938</v>
      </c>
      <c r="C824" s="6" t="s">
        <v>2939</v>
      </c>
      <c r="D824" s="6" t="s">
        <v>2940</v>
      </c>
      <c r="F824" s="13" t="s">
        <v>608</v>
      </c>
      <c r="G824" s="8">
        <v>301</v>
      </c>
      <c r="H824" s="21" t="s">
        <v>1898</v>
      </c>
      <c r="I824" s="9">
        <f t="shared" si="54"/>
        <v>55</v>
      </c>
      <c r="J824" s="9">
        <f t="shared" si="53"/>
        <v>4</v>
      </c>
      <c r="K824" s="10" t="str">
        <f t="shared" si="52"/>
        <v>S2R55B4</v>
      </c>
      <c r="L824" s="10" t="s">
        <v>1899</v>
      </c>
      <c r="M824" s="10">
        <f>IF(Table1[[#This Row],[ID ROW]]&lt;=12,Table1[[#This Row],[ID ROW]],Table1[[#This Row],[ID ROW]]+INT((Table1[[#This Row],[ID ROW]]-1)/12)*2)</f>
        <v>63</v>
      </c>
      <c r="N824" s="10" t="str">
        <f t="shared" si="55"/>
        <v>LSR63B4</v>
      </c>
      <c r="O824" s="10">
        <f>IF(Table1[[#This Row],[ID ROW]]&lt;=12,1,INT((Table1[[#This Row],[ID ROW]]-1)/12)+1)</f>
        <v>5</v>
      </c>
      <c r="P824" s="10">
        <f>Table1[[#This Row],[ID ROW]]-((Table1[[#This Row],[SECT]]-1)*12)</f>
        <v>7</v>
      </c>
    </row>
    <row r="825" spans="1:16" ht="15.75" customHeight="1" x14ac:dyDescent="0.25">
      <c r="A825" s="6" t="s">
        <v>2590</v>
      </c>
      <c r="B825" s="6" t="s">
        <v>2249</v>
      </c>
      <c r="D825" s="6" t="s">
        <v>2941</v>
      </c>
      <c r="F825" s="7" t="s">
        <v>2942</v>
      </c>
      <c r="G825" s="8">
        <v>302</v>
      </c>
      <c r="H825" s="21" t="s">
        <v>1898</v>
      </c>
      <c r="I825" s="9">
        <f t="shared" si="54"/>
        <v>55</v>
      </c>
      <c r="J825" s="9">
        <f t="shared" si="53"/>
        <v>5</v>
      </c>
      <c r="K825" s="10" t="str">
        <f t="shared" si="52"/>
        <v>S2R55B5</v>
      </c>
      <c r="L825" s="10" t="s">
        <v>1899</v>
      </c>
      <c r="M825" s="10">
        <f>IF(Table1[[#This Row],[ID ROW]]&lt;=12,Table1[[#This Row],[ID ROW]],Table1[[#This Row],[ID ROW]]+INT((Table1[[#This Row],[ID ROW]]-1)/12)*2)</f>
        <v>63</v>
      </c>
      <c r="N825" s="10" t="str">
        <f t="shared" si="55"/>
        <v>LSR63B5</v>
      </c>
      <c r="O825" s="10">
        <f>IF(Table1[[#This Row],[ID ROW]]&lt;=12,1,INT((Table1[[#This Row],[ID ROW]]-1)/12)+1)</f>
        <v>5</v>
      </c>
      <c r="P825" s="10">
        <f>Table1[[#This Row],[ID ROW]]-((Table1[[#This Row],[SECT]]-1)*12)</f>
        <v>7</v>
      </c>
    </row>
    <row r="826" spans="1:16" ht="15.75" customHeight="1" x14ac:dyDescent="0.3">
      <c r="A826" s="6" t="s">
        <v>2943</v>
      </c>
      <c r="B826" s="6" t="s">
        <v>2944</v>
      </c>
      <c r="C826" s="6" t="s">
        <v>2945</v>
      </c>
      <c r="D826" s="6" t="s">
        <v>2946</v>
      </c>
      <c r="F826" s="13" t="s">
        <v>2947</v>
      </c>
      <c r="G826" s="8">
        <v>303</v>
      </c>
      <c r="H826" s="21" t="s">
        <v>1898</v>
      </c>
      <c r="I826" s="9">
        <f t="shared" si="54"/>
        <v>55</v>
      </c>
      <c r="J826" s="9">
        <f t="shared" si="53"/>
        <v>6</v>
      </c>
      <c r="K826" s="10" t="str">
        <f t="shared" si="52"/>
        <v>S2R55B6</v>
      </c>
      <c r="L826" s="10" t="s">
        <v>1899</v>
      </c>
      <c r="M826" s="10">
        <f>IF(Table1[[#This Row],[ID ROW]]&lt;=12,Table1[[#This Row],[ID ROW]],Table1[[#This Row],[ID ROW]]+INT((Table1[[#This Row],[ID ROW]]-1)/12)*2)</f>
        <v>63</v>
      </c>
      <c r="N826" s="10" t="str">
        <f t="shared" si="55"/>
        <v>LSR63B6</v>
      </c>
      <c r="O826" s="10">
        <f>IF(Table1[[#This Row],[ID ROW]]&lt;=12,1,INT((Table1[[#This Row],[ID ROW]]-1)/12)+1)</f>
        <v>5</v>
      </c>
      <c r="P826" s="10">
        <f>Table1[[#This Row],[ID ROW]]-((Table1[[#This Row],[SECT]]-1)*12)</f>
        <v>7</v>
      </c>
    </row>
    <row r="827" spans="1:16" ht="15.75" customHeight="1" x14ac:dyDescent="0.25">
      <c r="A827" s="6" t="s">
        <v>2948</v>
      </c>
      <c r="B827" s="6" t="s">
        <v>2949</v>
      </c>
      <c r="C827" s="6" t="s">
        <v>2950</v>
      </c>
      <c r="D827" s="6" t="s">
        <v>2951</v>
      </c>
      <c r="F827" s="7" t="s">
        <v>2952</v>
      </c>
      <c r="G827" s="8">
        <v>304</v>
      </c>
      <c r="H827" s="21" t="s">
        <v>1898</v>
      </c>
      <c r="I827" s="9">
        <f t="shared" si="54"/>
        <v>56</v>
      </c>
      <c r="J827" s="9">
        <f t="shared" si="53"/>
        <v>1</v>
      </c>
      <c r="K827" s="10" t="str">
        <f t="shared" si="52"/>
        <v>S2R56B1</v>
      </c>
      <c r="L827" s="10" t="s">
        <v>1899</v>
      </c>
      <c r="M827" s="10">
        <f>IF(Table1[[#This Row],[ID ROW]]&lt;=12,Table1[[#This Row],[ID ROW]],Table1[[#This Row],[ID ROW]]+INT((Table1[[#This Row],[ID ROW]]-1)/12)*2)</f>
        <v>64</v>
      </c>
      <c r="N827" s="10" t="str">
        <f t="shared" si="55"/>
        <v>LSR64B1</v>
      </c>
      <c r="O827" s="10">
        <f>IF(Table1[[#This Row],[ID ROW]]&lt;=12,1,INT((Table1[[#This Row],[ID ROW]]-1)/12)+1)</f>
        <v>5</v>
      </c>
      <c r="P827" s="10">
        <f>Table1[[#This Row],[ID ROW]]-((Table1[[#This Row],[SECT]]-1)*12)</f>
        <v>8</v>
      </c>
    </row>
    <row r="828" spans="1:16" ht="15.75" customHeight="1" x14ac:dyDescent="0.3">
      <c r="A828" s="6" t="s">
        <v>2953</v>
      </c>
      <c r="B828" s="6" t="s">
        <v>2954</v>
      </c>
      <c r="C828" s="6" t="s">
        <v>2955</v>
      </c>
      <c r="D828" s="6" t="s">
        <v>2956</v>
      </c>
      <c r="F828" s="13" t="s">
        <v>2952</v>
      </c>
      <c r="G828" s="8">
        <v>305</v>
      </c>
      <c r="H828" s="21" t="s">
        <v>1898</v>
      </c>
      <c r="I828" s="9">
        <f t="shared" si="54"/>
        <v>56</v>
      </c>
      <c r="J828" s="9">
        <f t="shared" si="53"/>
        <v>2</v>
      </c>
      <c r="K828" s="10" t="str">
        <f t="shared" si="52"/>
        <v>S2R56B2</v>
      </c>
      <c r="L828" s="10" t="s">
        <v>1899</v>
      </c>
      <c r="M828" s="10">
        <f>IF(Table1[[#This Row],[ID ROW]]&lt;=12,Table1[[#This Row],[ID ROW]],Table1[[#This Row],[ID ROW]]+INT((Table1[[#This Row],[ID ROW]]-1)/12)*2)</f>
        <v>64</v>
      </c>
      <c r="N828" s="10" t="str">
        <f t="shared" si="55"/>
        <v>LSR64B2</v>
      </c>
      <c r="O828" s="10">
        <f>IF(Table1[[#This Row],[ID ROW]]&lt;=12,1,INT((Table1[[#This Row],[ID ROW]]-1)/12)+1)</f>
        <v>5</v>
      </c>
      <c r="P828" s="10">
        <f>Table1[[#This Row],[ID ROW]]-((Table1[[#This Row],[SECT]]-1)*12)</f>
        <v>8</v>
      </c>
    </row>
    <row r="829" spans="1:16" ht="15.75" customHeight="1" x14ac:dyDescent="0.25">
      <c r="A829" s="6" t="s">
        <v>2957</v>
      </c>
      <c r="B829" s="6" t="s">
        <v>2958</v>
      </c>
      <c r="C829" s="6" t="s">
        <v>67</v>
      </c>
      <c r="F829" s="7" t="s">
        <v>233</v>
      </c>
      <c r="G829" s="8">
        <v>306</v>
      </c>
      <c r="H829" s="21" t="s">
        <v>1898</v>
      </c>
      <c r="I829" s="9">
        <f t="shared" si="54"/>
        <v>56</v>
      </c>
      <c r="J829" s="9">
        <f t="shared" si="53"/>
        <v>3</v>
      </c>
      <c r="K829" s="10" t="str">
        <f t="shared" si="52"/>
        <v>S2R56B3</v>
      </c>
      <c r="L829" s="10" t="s">
        <v>1899</v>
      </c>
      <c r="M829" s="10">
        <f>IF(Table1[[#This Row],[ID ROW]]&lt;=12,Table1[[#This Row],[ID ROW]],Table1[[#This Row],[ID ROW]]+INT((Table1[[#This Row],[ID ROW]]-1)/12)*2)</f>
        <v>64</v>
      </c>
      <c r="N829" s="10" t="str">
        <f t="shared" si="55"/>
        <v>LSR64B3</v>
      </c>
      <c r="O829" s="10">
        <f>IF(Table1[[#This Row],[ID ROW]]&lt;=12,1,INT((Table1[[#This Row],[ID ROW]]-1)/12)+1)</f>
        <v>5</v>
      </c>
      <c r="P829" s="10">
        <f>Table1[[#This Row],[ID ROW]]-((Table1[[#This Row],[SECT]]-1)*12)</f>
        <v>8</v>
      </c>
    </row>
    <row r="830" spans="1:16" ht="15.75" customHeight="1" x14ac:dyDescent="0.3">
      <c r="A830" s="6" t="s">
        <v>2959</v>
      </c>
      <c r="B830" s="6" t="s">
        <v>2960</v>
      </c>
      <c r="C830" s="6" t="s">
        <v>2961</v>
      </c>
      <c r="F830" s="13" t="s">
        <v>2962</v>
      </c>
      <c r="G830" s="8">
        <v>307</v>
      </c>
      <c r="H830" s="21" t="s">
        <v>1898</v>
      </c>
      <c r="I830" s="9">
        <f t="shared" si="54"/>
        <v>56</v>
      </c>
      <c r="J830" s="9">
        <f t="shared" si="53"/>
        <v>4</v>
      </c>
      <c r="K830" s="10" t="str">
        <f t="shared" si="52"/>
        <v>S2R56B4</v>
      </c>
      <c r="L830" s="10" t="s">
        <v>1899</v>
      </c>
      <c r="M830" s="10">
        <f>IF(Table1[[#This Row],[ID ROW]]&lt;=12,Table1[[#This Row],[ID ROW]],Table1[[#This Row],[ID ROW]]+INT((Table1[[#This Row],[ID ROW]]-1)/12)*2)</f>
        <v>64</v>
      </c>
      <c r="N830" s="10" t="str">
        <f t="shared" si="55"/>
        <v>LSR64B4</v>
      </c>
      <c r="O830" s="10">
        <f>IF(Table1[[#This Row],[ID ROW]]&lt;=12,1,INT((Table1[[#This Row],[ID ROW]]-1)/12)+1)</f>
        <v>5</v>
      </c>
      <c r="P830" s="10">
        <f>Table1[[#This Row],[ID ROW]]-((Table1[[#This Row],[SECT]]-1)*12)</f>
        <v>8</v>
      </c>
    </row>
    <row r="831" spans="1:16" ht="15.75" customHeight="1" x14ac:dyDescent="0.25">
      <c r="A831" s="6" t="s">
        <v>2963</v>
      </c>
      <c r="B831" s="6" t="s">
        <v>338</v>
      </c>
      <c r="C831" s="6" t="s">
        <v>67</v>
      </c>
      <c r="D831" s="6" t="s">
        <v>2964</v>
      </c>
      <c r="F831" s="7" t="s">
        <v>2965</v>
      </c>
      <c r="G831" s="8">
        <v>308</v>
      </c>
      <c r="H831" s="21" t="s">
        <v>1898</v>
      </c>
      <c r="I831" s="9">
        <f t="shared" si="54"/>
        <v>56</v>
      </c>
      <c r="J831" s="9">
        <f t="shared" si="53"/>
        <v>5</v>
      </c>
      <c r="K831" s="10" t="str">
        <f t="shared" si="52"/>
        <v>S2R56B5</v>
      </c>
      <c r="L831" s="10" t="s">
        <v>1899</v>
      </c>
      <c r="M831" s="10">
        <f>IF(Table1[[#This Row],[ID ROW]]&lt;=12,Table1[[#This Row],[ID ROW]],Table1[[#This Row],[ID ROW]]+INT((Table1[[#This Row],[ID ROW]]-1)/12)*2)</f>
        <v>64</v>
      </c>
      <c r="N831" s="10" t="str">
        <f t="shared" si="55"/>
        <v>LSR64B5</v>
      </c>
      <c r="O831" s="10">
        <f>IF(Table1[[#This Row],[ID ROW]]&lt;=12,1,INT((Table1[[#This Row],[ID ROW]]-1)/12)+1)</f>
        <v>5</v>
      </c>
      <c r="P831" s="10">
        <f>Table1[[#This Row],[ID ROW]]-((Table1[[#This Row],[SECT]]-1)*12)</f>
        <v>8</v>
      </c>
    </row>
    <row r="832" spans="1:16" ht="15.75" customHeight="1" x14ac:dyDescent="0.3">
      <c r="A832" s="6" t="s">
        <v>2966</v>
      </c>
      <c r="B832" s="6" t="s">
        <v>2967</v>
      </c>
      <c r="C832" s="6" t="s">
        <v>2968</v>
      </c>
      <c r="F832" s="13" t="s">
        <v>2969</v>
      </c>
      <c r="G832" s="8">
        <v>309</v>
      </c>
      <c r="H832" s="21" t="s">
        <v>1898</v>
      </c>
      <c r="I832" s="9">
        <f t="shared" si="54"/>
        <v>57</v>
      </c>
      <c r="J832" s="9">
        <f t="shared" si="53"/>
        <v>1</v>
      </c>
      <c r="K832" s="10" t="str">
        <f t="shared" si="52"/>
        <v>S2R57B1</v>
      </c>
      <c r="L832" s="10" t="s">
        <v>1899</v>
      </c>
      <c r="M832" s="10">
        <f>IF(Table1[[#This Row],[ID ROW]]&lt;=12,Table1[[#This Row],[ID ROW]],Table1[[#This Row],[ID ROW]]+INT((Table1[[#This Row],[ID ROW]]-1)/12)*2)</f>
        <v>65</v>
      </c>
      <c r="N832" s="10" t="str">
        <f t="shared" si="55"/>
        <v>LSR65B1</v>
      </c>
      <c r="O832" s="10">
        <f>IF(Table1[[#This Row],[ID ROW]]&lt;=12,1,INT((Table1[[#This Row],[ID ROW]]-1)/12)+1)</f>
        <v>5</v>
      </c>
      <c r="P832" s="10">
        <f>Table1[[#This Row],[ID ROW]]-((Table1[[#This Row],[SECT]]-1)*12)</f>
        <v>9</v>
      </c>
    </row>
    <row r="833" spans="1:16" ht="15.75" customHeight="1" x14ac:dyDescent="0.25">
      <c r="A833" s="6" t="s">
        <v>2970</v>
      </c>
      <c r="B833" s="6" t="s">
        <v>2971</v>
      </c>
      <c r="C833" s="6" t="s">
        <v>2972</v>
      </c>
      <c r="D833" s="6" t="s">
        <v>2973</v>
      </c>
      <c r="F833" s="7" t="s">
        <v>2974</v>
      </c>
      <c r="G833" s="8">
        <v>310</v>
      </c>
      <c r="H833" s="21" t="s">
        <v>1898</v>
      </c>
      <c r="I833" s="9">
        <f t="shared" si="54"/>
        <v>57</v>
      </c>
      <c r="J833" s="9">
        <f t="shared" si="53"/>
        <v>2</v>
      </c>
      <c r="K833" s="10" t="str">
        <f t="shared" ref="K833:K896" si="56">H833&amp;"R"&amp;I833&amp;"B"&amp;J833</f>
        <v>S2R57B2</v>
      </c>
      <c r="L833" s="10" t="s">
        <v>1899</v>
      </c>
      <c r="M833" s="10">
        <f>IF(Table1[[#This Row],[ID ROW]]&lt;=12,Table1[[#This Row],[ID ROW]],Table1[[#This Row],[ID ROW]]+INT((Table1[[#This Row],[ID ROW]]-1)/12)*2)</f>
        <v>65</v>
      </c>
      <c r="N833" s="10" t="str">
        <f t="shared" si="55"/>
        <v>LSR65B2</v>
      </c>
      <c r="O833" s="10">
        <f>IF(Table1[[#This Row],[ID ROW]]&lt;=12,1,INT((Table1[[#This Row],[ID ROW]]-1)/12)+1)</f>
        <v>5</v>
      </c>
      <c r="P833" s="10">
        <f>Table1[[#This Row],[ID ROW]]-((Table1[[#This Row],[SECT]]-1)*12)</f>
        <v>9</v>
      </c>
    </row>
    <row r="834" spans="1:16" ht="15.75" customHeight="1" x14ac:dyDescent="0.3">
      <c r="A834" s="6" t="s">
        <v>2975</v>
      </c>
      <c r="B834" s="6" t="s">
        <v>2976</v>
      </c>
      <c r="C834" s="6" t="s">
        <v>2977</v>
      </c>
      <c r="D834" s="6" t="s">
        <v>2978</v>
      </c>
      <c r="F834" s="13" t="s">
        <v>2974</v>
      </c>
      <c r="G834" s="8">
        <v>311</v>
      </c>
      <c r="H834" s="21" t="s">
        <v>1898</v>
      </c>
      <c r="I834" s="9">
        <f t="shared" si="54"/>
        <v>57</v>
      </c>
      <c r="J834" s="9">
        <f t="shared" si="53"/>
        <v>3</v>
      </c>
      <c r="K834" s="10" t="str">
        <f t="shared" si="56"/>
        <v>S2R57B3</v>
      </c>
      <c r="L834" s="10" t="s">
        <v>1899</v>
      </c>
      <c r="M834" s="10">
        <f>IF(Table1[[#This Row],[ID ROW]]&lt;=12,Table1[[#This Row],[ID ROW]],Table1[[#This Row],[ID ROW]]+INT((Table1[[#This Row],[ID ROW]]-1)/12)*2)</f>
        <v>65</v>
      </c>
      <c r="N834" s="10" t="str">
        <f t="shared" si="55"/>
        <v>LSR65B3</v>
      </c>
      <c r="O834" s="10">
        <f>IF(Table1[[#This Row],[ID ROW]]&lt;=12,1,INT((Table1[[#This Row],[ID ROW]]-1)/12)+1)</f>
        <v>5</v>
      </c>
      <c r="P834" s="10">
        <f>Table1[[#This Row],[ID ROW]]-((Table1[[#This Row],[SECT]]-1)*12)</f>
        <v>9</v>
      </c>
    </row>
    <row r="835" spans="1:16" ht="15.75" customHeight="1" x14ac:dyDescent="0.25">
      <c r="A835" s="6" t="s">
        <v>105</v>
      </c>
      <c r="B835" s="6" t="s">
        <v>2979</v>
      </c>
      <c r="C835" s="6" t="s">
        <v>2444</v>
      </c>
      <c r="D835" s="6" t="s">
        <v>2980</v>
      </c>
      <c r="F835" s="7" t="s">
        <v>2981</v>
      </c>
      <c r="G835" s="8">
        <v>312</v>
      </c>
      <c r="H835" s="21" t="s">
        <v>1898</v>
      </c>
      <c r="I835" s="9">
        <f t="shared" si="54"/>
        <v>57</v>
      </c>
      <c r="J835" s="9">
        <f t="shared" si="53"/>
        <v>4</v>
      </c>
      <c r="K835" s="10" t="str">
        <f t="shared" si="56"/>
        <v>S2R57B4</v>
      </c>
      <c r="L835" s="10" t="s">
        <v>1899</v>
      </c>
      <c r="M835" s="10">
        <f>IF(Table1[[#This Row],[ID ROW]]&lt;=12,Table1[[#This Row],[ID ROW]],Table1[[#This Row],[ID ROW]]+INT((Table1[[#This Row],[ID ROW]]-1)/12)*2)</f>
        <v>65</v>
      </c>
      <c r="N835" s="10" t="str">
        <f t="shared" si="55"/>
        <v>LSR65B4</v>
      </c>
      <c r="O835" s="10">
        <f>IF(Table1[[#This Row],[ID ROW]]&lt;=12,1,INT((Table1[[#This Row],[ID ROW]]-1)/12)+1)</f>
        <v>5</v>
      </c>
      <c r="P835" s="10">
        <f>Table1[[#This Row],[ID ROW]]-((Table1[[#This Row],[SECT]]-1)*12)</f>
        <v>9</v>
      </c>
    </row>
    <row r="836" spans="1:16" ht="15.75" customHeight="1" x14ac:dyDescent="0.3">
      <c r="A836" s="6" t="s">
        <v>2982</v>
      </c>
      <c r="B836" s="6" t="s">
        <v>2983</v>
      </c>
      <c r="C836" s="6" t="s">
        <v>52</v>
      </c>
      <c r="D836" s="6" t="s">
        <v>2984</v>
      </c>
      <c r="F836" s="13" t="s">
        <v>2985</v>
      </c>
      <c r="G836" s="8">
        <v>313</v>
      </c>
      <c r="H836" s="21" t="s">
        <v>1898</v>
      </c>
      <c r="I836" s="9">
        <f t="shared" si="54"/>
        <v>57</v>
      </c>
      <c r="J836" s="9">
        <f t="shared" si="53"/>
        <v>5</v>
      </c>
      <c r="K836" s="10" t="str">
        <f t="shared" si="56"/>
        <v>S2R57B5</v>
      </c>
      <c r="L836" s="10" t="s">
        <v>1899</v>
      </c>
      <c r="M836" s="10">
        <f>IF(Table1[[#This Row],[ID ROW]]&lt;=12,Table1[[#This Row],[ID ROW]],Table1[[#This Row],[ID ROW]]+INT((Table1[[#This Row],[ID ROW]]-1)/12)*2)</f>
        <v>65</v>
      </c>
      <c r="N836" s="10" t="str">
        <f t="shared" si="55"/>
        <v>LSR65B5</v>
      </c>
      <c r="O836" s="10">
        <f>IF(Table1[[#This Row],[ID ROW]]&lt;=12,1,INT((Table1[[#This Row],[ID ROW]]-1)/12)+1)</f>
        <v>5</v>
      </c>
      <c r="P836" s="10">
        <f>Table1[[#This Row],[ID ROW]]-((Table1[[#This Row],[SECT]]-1)*12)</f>
        <v>9</v>
      </c>
    </row>
    <row r="837" spans="1:16" ht="15.75" customHeight="1" x14ac:dyDescent="0.25">
      <c r="A837" s="6" t="s">
        <v>2986</v>
      </c>
      <c r="C837" s="6" t="s">
        <v>2987</v>
      </c>
      <c r="F837" s="7" t="s">
        <v>2988</v>
      </c>
      <c r="G837" s="8">
        <v>314</v>
      </c>
      <c r="H837" s="21" t="s">
        <v>1898</v>
      </c>
      <c r="I837" s="9">
        <f t="shared" si="54"/>
        <v>57</v>
      </c>
      <c r="J837" s="9">
        <f t="shared" si="53"/>
        <v>6</v>
      </c>
      <c r="K837" s="10" t="str">
        <f t="shared" si="56"/>
        <v>S2R57B6</v>
      </c>
      <c r="L837" s="10" t="s">
        <v>1899</v>
      </c>
      <c r="M837" s="10">
        <f>IF(Table1[[#This Row],[ID ROW]]&lt;=12,Table1[[#This Row],[ID ROW]],Table1[[#This Row],[ID ROW]]+INT((Table1[[#This Row],[ID ROW]]-1)/12)*2)</f>
        <v>65</v>
      </c>
      <c r="N837" s="10" t="str">
        <f t="shared" si="55"/>
        <v>LSR65B6</v>
      </c>
      <c r="O837" s="10">
        <f>IF(Table1[[#This Row],[ID ROW]]&lt;=12,1,INT((Table1[[#This Row],[ID ROW]]-1)/12)+1)</f>
        <v>5</v>
      </c>
      <c r="P837" s="10">
        <f>Table1[[#This Row],[ID ROW]]-((Table1[[#This Row],[SECT]]-1)*12)</f>
        <v>9</v>
      </c>
    </row>
    <row r="838" spans="1:16" ht="15.75" customHeight="1" x14ac:dyDescent="0.3">
      <c r="A838" s="6" t="s">
        <v>2989</v>
      </c>
      <c r="B838" s="6" t="s">
        <v>2990</v>
      </c>
      <c r="C838" s="6" t="s">
        <v>2991</v>
      </c>
      <c r="D838" s="6" t="s">
        <v>67</v>
      </c>
      <c r="F838" s="13" t="s">
        <v>2992</v>
      </c>
      <c r="G838" s="8">
        <v>315</v>
      </c>
      <c r="H838" s="21" t="s">
        <v>1898</v>
      </c>
      <c r="I838" s="9">
        <f t="shared" si="54"/>
        <v>58</v>
      </c>
      <c r="J838" s="9">
        <f t="shared" si="53"/>
        <v>1</v>
      </c>
      <c r="K838" s="10" t="str">
        <f t="shared" si="56"/>
        <v>S2R58B1</v>
      </c>
      <c r="L838" s="10" t="s">
        <v>1899</v>
      </c>
      <c r="M838" s="10">
        <f>IF(Table1[[#This Row],[ID ROW]]&lt;=12,Table1[[#This Row],[ID ROW]],Table1[[#This Row],[ID ROW]]+INT((Table1[[#This Row],[ID ROW]]-1)/12)*2)</f>
        <v>66</v>
      </c>
      <c r="N838" s="10" t="str">
        <f t="shared" si="55"/>
        <v>LSR66B1</v>
      </c>
      <c r="O838" s="10">
        <f>IF(Table1[[#This Row],[ID ROW]]&lt;=12,1,INT((Table1[[#This Row],[ID ROW]]-1)/12)+1)</f>
        <v>5</v>
      </c>
      <c r="P838" s="10">
        <f>Table1[[#This Row],[ID ROW]]-((Table1[[#This Row],[SECT]]-1)*12)</f>
        <v>10</v>
      </c>
    </row>
    <row r="839" spans="1:16" ht="15.75" customHeight="1" x14ac:dyDescent="0.25">
      <c r="A839" s="6" t="s">
        <v>2993</v>
      </c>
      <c r="B839" s="6" t="s">
        <v>120</v>
      </c>
      <c r="C839" s="6" t="s">
        <v>2994</v>
      </c>
      <c r="D839" s="6" t="s">
        <v>2995</v>
      </c>
      <c r="F839" s="7" t="s">
        <v>2996</v>
      </c>
      <c r="G839" s="8">
        <v>316</v>
      </c>
      <c r="H839" s="21" t="s">
        <v>1898</v>
      </c>
      <c r="I839" s="9">
        <f t="shared" si="54"/>
        <v>58</v>
      </c>
      <c r="J839" s="9">
        <f t="shared" si="53"/>
        <v>2</v>
      </c>
      <c r="K839" s="10" t="str">
        <f t="shared" si="56"/>
        <v>S2R58B2</v>
      </c>
      <c r="L839" s="10" t="s">
        <v>1899</v>
      </c>
      <c r="M839" s="10">
        <f>IF(Table1[[#This Row],[ID ROW]]&lt;=12,Table1[[#This Row],[ID ROW]],Table1[[#This Row],[ID ROW]]+INT((Table1[[#This Row],[ID ROW]]-1)/12)*2)</f>
        <v>66</v>
      </c>
      <c r="N839" s="10" t="str">
        <f t="shared" si="55"/>
        <v>LSR66B2</v>
      </c>
      <c r="O839" s="10">
        <f>IF(Table1[[#This Row],[ID ROW]]&lt;=12,1,INT((Table1[[#This Row],[ID ROW]]-1)/12)+1)</f>
        <v>5</v>
      </c>
      <c r="P839" s="10">
        <f>Table1[[#This Row],[ID ROW]]-((Table1[[#This Row],[SECT]]-1)*12)</f>
        <v>10</v>
      </c>
    </row>
    <row r="840" spans="1:16" ht="15.75" customHeight="1" x14ac:dyDescent="0.3">
      <c r="A840" s="6" t="s">
        <v>2997</v>
      </c>
      <c r="B840" s="6" t="s">
        <v>2998</v>
      </c>
      <c r="C840" s="6" t="s">
        <v>2910</v>
      </c>
      <c r="F840" s="13" t="s">
        <v>2999</v>
      </c>
      <c r="G840" s="8">
        <v>317</v>
      </c>
      <c r="H840" s="21" t="s">
        <v>1898</v>
      </c>
      <c r="I840" s="9">
        <f t="shared" si="54"/>
        <v>58</v>
      </c>
      <c r="J840" s="9">
        <f t="shared" si="53"/>
        <v>3</v>
      </c>
      <c r="K840" s="10" t="str">
        <f t="shared" si="56"/>
        <v>S2R58B3</v>
      </c>
      <c r="L840" s="10" t="s">
        <v>1899</v>
      </c>
      <c r="M840" s="10">
        <f>IF(Table1[[#This Row],[ID ROW]]&lt;=12,Table1[[#This Row],[ID ROW]],Table1[[#This Row],[ID ROW]]+INT((Table1[[#This Row],[ID ROW]]-1)/12)*2)</f>
        <v>66</v>
      </c>
      <c r="N840" s="10" t="str">
        <f t="shared" si="55"/>
        <v>LSR66B3</v>
      </c>
      <c r="O840" s="10">
        <f>IF(Table1[[#This Row],[ID ROW]]&lt;=12,1,INT((Table1[[#This Row],[ID ROW]]-1)/12)+1)</f>
        <v>5</v>
      </c>
      <c r="P840" s="10">
        <f>Table1[[#This Row],[ID ROW]]-((Table1[[#This Row],[SECT]]-1)*12)</f>
        <v>10</v>
      </c>
    </row>
    <row r="841" spans="1:16" ht="15.75" customHeight="1" x14ac:dyDescent="0.25">
      <c r="A841" s="6" t="s">
        <v>380</v>
      </c>
      <c r="B841" s="6" t="s">
        <v>377</v>
      </c>
      <c r="D841" s="6" t="s">
        <v>3000</v>
      </c>
      <c r="F841" s="7" t="s">
        <v>3001</v>
      </c>
      <c r="G841" s="8">
        <v>318</v>
      </c>
      <c r="H841" s="21" t="s">
        <v>1898</v>
      </c>
      <c r="I841" s="9">
        <f t="shared" si="54"/>
        <v>58</v>
      </c>
      <c r="J841" s="9">
        <f t="shared" si="53"/>
        <v>4</v>
      </c>
      <c r="K841" s="10" t="str">
        <f t="shared" si="56"/>
        <v>S2R58B4</v>
      </c>
      <c r="L841" s="10" t="s">
        <v>1899</v>
      </c>
      <c r="M841" s="10">
        <f>IF(Table1[[#This Row],[ID ROW]]&lt;=12,Table1[[#This Row],[ID ROW]],Table1[[#This Row],[ID ROW]]+INT((Table1[[#This Row],[ID ROW]]-1)/12)*2)</f>
        <v>66</v>
      </c>
      <c r="N841" s="10" t="str">
        <f t="shared" si="55"/>
        <v>LSR66B4</v>
      </c>
      <c r="O841" s="10">
        <f>IF(Table1[[#This Row],[ID ROW]]&lt;=12,1,INT((Table1[[#This Row],[ID ROW]]-1)/12)+1)</f>
        <v>5</v>
      </c>
      <c r="P841" s="10">
        <f>Table1[[#This Row],[ID ROW]]-((Table1[[#This Row],[SECT]]-1)*12)</f>
        <v>10</v>
      </c>
    </row>
    <row r="842" spans="1:16" ht="15.75" customHeight="1" x14ac:dyDescent="0.3">
      <c r="A842" s="6" t="s">
        <v>3002</v>
      </c>
      <c r="B842" s="6" t="s">
        <v>3003</v>
      </c>
      <c r="C842" s="6" t="s">
        <v>3004</v>
      </c>
      <c r="F842" s="13" t="s">
        <v>260</v>
      </c>
      <c r="G842" s="8">
        <v>319</v>
      </c>
      <c r="H842" s="21" t="s">
        <v>1898</v>
      </c>
      <c r="I842" s="9">
        <f t="shared" si="54"/>
        <v>58</v>
      </c>
      <c r="J842" s="9">
        <f t="shared" si="53"/>
        <v>5</v>
      </c>
      <c r="K842" s="10" t="str">
        <f t="shared" si="56"/>
        <v>S2R58B5</v>
      </c>
      <c r="L842" s="10" t="s">
        <v>1899</v>
      </c>
      <c r="M842" s="10">
        <f>IF(Table1[[#This Row],[ID ROW]]&lt;=12,Table1[[#This Row],[ID ROW]],Table1[[#This Row],[ID ROW]]+INT((Table1[[#This Row],[ID ROW]]-1)/12)*2)</f>
        <v>66</v>
      </c>
      <c r="N842" s="10" t="str">
        <f t="shared" si="55"/>
        <v>LSR66B5</v>
      </c>
      <c r="O842" s="10">
        <f>IF(Table1[[#This Row],[ID ROW]]&lt;=12,1,INT((Table1[[#This Row],[ID ROW]]-1)/12)+1)</f>
        <v>5</v>
      </c>
      <c r="P842" s="10">
        <f>Table1[[#This Row],[ID ROW]]-((Table1[[#This Row],[SECT]]-1)*12)</f>
        <v>10</v>
      </c>
    </row>
    <row r="843" spans="1:16" ht="15.75" customHeight="1" x14ac:dyDescent="0.25">
      <c r="A843" s="6" t="s">
        <v>3005</v>
      </c>
      <c r="B843" s="6" t="s">
        <v>3006</v>
      </c>
      <c r="C843" s="6" t="s">
        <v>3007</v>
      </c>
      <c r="D843" s="6" t="s">
        <v>3008</v>
      </c>
      <c r="F843" s="7" t="s">
        <v>2400</v>
      </c>
      <c r="G843" s="8">
        <v>320</v>
      </c>
      <c r="H843" s="21" t="s">
        <v>1898</v>
      </c>
      <c r="I843" s="9">
        <f t="shared" si="54"/>
        <v>59</v>
      </c>
      <c r="J843" s="9">
        <f t="shared" si="53"/>
        <v>1</v>
      </c>
      <c r="K843" s="10" t="str">
        <f t="shared" si="56"/>
        <v>S2R59B1</v>
      </c>
      <c r="L843" s="10" t="s">
        <v>1899</v>
      </c>
      <c r="M843" s="10">
        <f>IF(Table1[[#This Row],[ID ROW]]&lt;=12,Table1[[#This Row],[ID ROW]],Table1[[#This Row],[ID ROW]]+INT((Table1[[#This Row],[ID ROW]]-1)/12)*2)</f>
        <v>67</v>
      </c>
      <c r="N843" s="10" t="str">
        <f t="shared" si="55"/>
        <v>LSR67B1</v>
      </c>
      <c r="O843" s="10">
        <f>IF(Table1[[#This Row],[ID ROW]]&lt;=12,1,INT((Table1[[#This Row],[ID ROW]]-1)/12)+1)</f>
        <v>5</v>
      </c>
      <c r="P843" s="10">
        <f>Table1[[#This Row],[ID ROW]]-((Table1[[#This Row],[SECT]]-1)*12)</f>
        <v>11</v>
      </c>
    </row>
    <row r="844" spans="1:16" ht="15.75" customHeight="1" x14ac:dyDescent="0.3">
      <c r="A844" s="6" t="s">
        <v>3009</v>
      </c>
      <c r="B844" s="6" t="s">
        <v>3010</v>
      </c>
      <c r="C844" s="6" t="s">
        <v>117</v>
      </c>
      <c r="F844" s="13" t="s">
        <v>3011</v>
      </c>
      <c r="G844" s="8">
        <v>321</v>
      </c>
      <c r="H844" s="21" t="s">
        <v>1898</v>
      </c>
      <c r="I844" s="9">
        <f t="shared" si="54"/>
        <v>59</v>
      </c>
      <c r="J844" s="9">
        <f t="shared" si="53"/>
        <v>2</v>
      </c>
      <c r="K844" s="10" t="str">
        <f t="shared" si="56"/>
        <v>S2R59B2</v>
      </c>
      <c r="L844" s="10" t="s">
        <v>1899</v>
      </c>
      <c r="M844" s="10">
        <f>IF(Table1[[#This Row],[ID ROW]]&lt;=12,Table1[[#This Row],[ID ROW]],Table1[[#This Row],[ID ROW]]+INT((Table1[[#This Row],[ID ROW]]-1)/12)*2)</f>
        <v>67</v>
      </c>
      <c r="N844" s="10" t="str">
        <f t="shared" si="55"/>
        <v>LSR67B2</v>
      </c>
      <c r="O844" s="10">
        <f>IF(Table1[[#This Row],[ID ROW]]&lt;=12,1,INT((Table1[[#This Row],[ID ROW]]-1)/12)+1)</f>
        <v>5</v>
      </c>
      <c r="P844" s="10">
        <f>Table1[[#This Row],[ID ROW]]-((Table1[[#This Row],[SECT]]-1)*12)</f>
        <v>11</v>
      </c>
    </row>
    <row r="845" spans="1:16" ht="15.75" customHeight="1" x14ac:dyDescent="0.25">
      <c r="A845" s="6" t="s">
        <v>3012</v>
      </c>
      <c r="B845" s="6" t="s">
        <v>3013</v>
      </c>
      <c r="C845" s="6" t="s">
        <v>3014</v>
      </c>
      <c r="D845" s="6" t="s">
        <v>3015</v>
      </c>
      <c r="F845" s="7" t="s">
        <v>3016</v>
      </c>
      <c r="G845" s="8">
        <v>322</v>
      </c>
      <c r="H845" s="21" t="s">
        <v>1898</v>
      </c>
      <c r="I845" s="9">
        <f t="shared" si="54"/>
        <v>59</v>
      </c>
      <c r="J845" s="9">
        <f t="shared" si="53"/>
        <v>3</v>
      </c>
      <c r="K845" s="10" t="str">
        <f t="shared" si="56"/>
        <v>S2R59B3</v>
      </c>
      <c r="L845" s="10" t="s">
        <v>1899</v>
      </c>
      <c r="M845" s="10">
        <f>IF(Table1[[#This Row],[ID ROW]]&lt;=12,Table1[[#This Row],[ID ROW]],Table1[[#This Row],[ID ROW]]+INT((Table1[[#This Row],[ID ROW]]-1)/12)*2)</f>
        <v>67</v>
      </c>
      <c r="N845" s="10" t="str">
        <f t="shared" si="55"/>
        <v>LSR67B3</v>
      </c>
      <c r="O845" s="10">
        <f>IF(Table1[[#This Row],[ID ROW]]&lt;=12,1,INT((Table1[[#This Row],[ID ROW]]-1)/12)+1)</f>
        <v>5</v>
      </c>
      <c r="P845" s="10">
        <f>Table1[[#This Row],[ID ROW]]-((Table1[[#This Row],[SECT]]-1)*12)</f>
        <v>11</v>
      </c>
    </row>
    <row r="846" spans="1:16" ht="15.75" customHeight="1" x14ac:dyDescent="0.3">
      <c r="A846" s="6" t="s">
        <v>1379</v>
      </c>
      <c r="B846" s="6" t="s">
        <v>3017</v>
      </c>
      <c r="C846" s="6" t="s">
        <v>211</v>
      </c>
      <c r="F846" s="13" t="s">
        <v>3018</v>
      </c>
      <c r="G846" s="8">
        <v>323</v>
      </c>
      <c r="H846" s="21" t="s">
        <v>1898</v>
      </c>
      <c r="I846" s="9">
        <f t="shared" si="54"/>
        <v>59</v>
      </c>
      <c r="J846" s="9">
        <f t="shared" si="53"/>
        <v>4</v>
      </c>
      <c r="K846" s="10" t="str">
        <f t="shared" si="56"/>
        <v>S2R59B4</v>
      </c>
      <c r="L846" s="10" t="s">
        <v>1899</v>
      </c>
      <c r="M846" s="10">
        <f>IF(Table1[[#This Row],[ID ROW]]&lt;=12,Table1[[#This Row],[ID ROW]],Table1[[#This Row],[ID ROW]]+INT((Table1[[#This Row],[ID ROW]]-1)/12)*2)</f>
        <v>67</v>
      </c>
      <c r="N846" s="10" t="str">
        <f t="shared" si="55"/>
        <v>LSR67B4</v>
      </c>
      <c r="O846" s="10">
        <f>IF(Table1[[#This Row],[ID ROW]]&lt;=12,1,INT((Table1[[#This Row],[ID ROW]]-1)/12)+1)</f>
        <v>5</v>
      </c>
      <c r="P846" s="10">
        <f>Table1[[#This Row],[ID ROW]]-((Table1[[#This Row],[SECT]]-1)*12)</f>
        <v>11</v>
      </c>
    </row>
    <row r="847" spans="1:16" ht="15.75" customHeight="1" x14ac:dyDescent="0.25">
      <c r="A847" s="6" t="s">
        <v>3019</v>
      </c>
      <c r="B847" s="6" t="s">
        <v>3020</v>
      </c>
      <c r="C847" s="6" t="s">
        <v>699</v>
      </c>
      <c r="F847" s="7" t="s">
        <v>3018</v>
      </c>
      <c r="G847" s="8">
        <v>324</v>
      </c>
      <c r="H847" s="21" t="s">
        <v>1898</v>
      </c>
      <c r="I847" s="9">
        <f t="shared" si="54"/>
        <v>59</v>
      </c>
      <c r="J847" s="9">
        <f t="shared" si="53"/>
        <v>5</v>
      </c>
      <c r="K847" s="10" t="str">
        <f t="shared" si="56"/>
        <v>S2R59B5</v>
      </c>
      <c r="L847" s="10" t="s">
        <v>1899</v>
      </c>
      <c r="M847" s="10">
        <f>IF(Table1[[#This Row],[ID ROW]]&lt;=12,Table1[[#This Row],[ID ROW]],Table1[[#This Row],[ID ROW]]+INT((Table1[[#This Row],[ID ROW]]-1)/12)*2)</f>
        <v>67</v>
      </c>
      <c r="N847" s="10" t="str">
        <f t="shared" si="55"/>
        <v>LSR67B5</v>
      </c>
      <c r="O847" s="10">
        <f>IF(Table1[[#This Row],[ID ROW]]&lt;=12,1,INT((Table1[[#This Row],[ID ROW]]-1)/12)+1)</f>
        <v>5</v>
      </c>
      <c r="P847" s="10">
        <f>Table1[[#This Row],[ID ROW]]-((Table1[[#This Row],[SECT]]-1)*12)</f>
        <v>11</v>
      </c>
    </row>
    <row r="848" spans="1:16" ht="15.75" customHeight="1" x14ac:dyDescent="0.3">
      <c r="A848" s="6" t="s">
        <v>3021</v>
      </c>
      <c r="B848" s="6" t="s">
        <v>3022</v>
      </c>
      <c r="C848" s="6" t="s">
        <v>3023</v>
      </c>
      <c r="D848" s="6" t="s">
        <v>3024</v>
      </c>
      <c r="F848" s="13" t="s">
        <v>3025</v>
      </c>
      <c r="G848" s="8">
        <v>325</v>
      </c>
      <c r="H848" s="21" t="s">
        <v>1898</v>
      </c>
      <c r="I848" s="9">
        <f t="shared" si="54"/>
        <v>59</v>
      </c>
      <c r="J848" s="9">
        <f t="shared" si="53"/>
        <v>6</v>
      </c>
      <c r="K848" s="10" t="str">
        <f t="shared" si="56"/>
        <v>S2R59B6</v>
      </c>
      <c r="L848" s="10" t="s">
        <v>1899</v>
      </c>
      <c r="M848" s="10">
        <f>IF(Table1[[#This Row],[ID ROW]]&lt;=12,Table1[[#This Row],[ID ROW]],Table1[[#This Row],[ID ROW]]+INT((Table1[[#This Row],[ID ROW]]-1)/12)*2)</f>
        <v>67</v>
      </c>
      <c r="N848" s="10" t="str">
        <f t="shared" si="55"/>
        <v>LSR67B6</v>
      </c>
      <c r="O848" s="10">
        <f>IF(Table1[[#This Row],[ID ROW]]&lt;=12,1,INT((Table1[[#This Row],[ID ROW]]-1)/12)+1)</f>
        <v>5</v>
      </c>
      <c r="P848" s="10">
        <f>Table1[[#This Row],[ID ROW]]-((Table1[[#This Row],[SECT]]-1)*12)</f>
        <v>11</v>
      </c>
    </row>
    <row r="849" spans="1:16" ht="15.75" customHeight="1" x14ac:dyDescent="0.25">
      <c r="A849" s="6" t="s">
        <v>3026</v>
      </c>
      <c r="B849" s="6" t="s">
        <v>1847</v>
      </c>
      <c r="C849" s="6" t="s">
        <v>3027</v>
      </c>
      <c r="F849" s="7" t="s">
        <v>3028</v>
      </c>
      <c r="G849" s="8">
        <v>326</v>
      </c>
      <c r="H849" s="21" t="s">
        <v>1898</v>
      </c>
      <c r="I849" s="9">
        <f t="shared" si="54"/>
        <v>60</v>
      </c>
      <c r="J849" s="9">
        <f t="shared" si="53"/>
        <v>1</v>
      </c>
      <c r="K849" s="10" t="str">
        <f t="shared" si="56"/>
        <v>S2R60B1</v>
      </c>
      <c r="L849" s="10" t="s">
        <v>1899</v>
      </c>
      <c r="M849" s="10">
        <f>IF(Table1[[#This Row],[ID ROW]]&lt;=12,Table1[[#This Row],[ID ROW]],Table1[[#This Row],[ID ROW]]+INT((Table1[[#This Row],[ID ROW]]-1)/12)*2)</f>
        <v>68</v>
      </c>
      <c r="N849" s="10" t="str">
        <f t="shared" si="55"/>
        <v>LSR68B1</v>
      </c>
      <c r="O849" s="10">
        <f>IF(Table1[[#This Row],[ID ROW]]&lt;=12,1,INT((Table1[[#This Row],[ID ROW]]-1)/12)+1)</f>
        <v>5</v>
      </c>
      <c r="P849" s="10">
        <f>Table1[[#This Row],[ID ROW]]-((Table1[[#This Row],[SECT]]-1)*12)</f>
        <v>12</v>
      </c>
    </row>
    <row r="850" spans="1:16" ht="15.75" customHeight="1" x14ac:dyDescent="0.3">
      <c r="A850" s="6" t="s">
        <v>3029</v>
      </c>
      <c r="B850" s="6" t="s">
        <v>3030</v>
      </c>
      <c r="C850" s="6" t="s">
        <v>3031</v>
      </c>
      <c r="F850" s="13" t="s">
        <v>3028</v>
      </c>
      <c r="G850" s="8">
        <v>327</v>
      </c>
      <c r="H850" s="21" t="s">
        <v>1898</v>
      </c>
      <c r="I850" s="9">
        <f t="shared" si="54"/>
        <v>60</v>
      </c>
      <c r="J850" s="9">
        <f t="shared" si="53"/>
        <v>2</v>
      </c>
      <c r="K850" s="10" t="str">
        <f t="shared" si="56"/>
        <v>S2R60B2</v>
      </c>
      <c r="L850" s="10" t="s">
        <v>1899</v>
      </c>
      <c r="M850" s="10">
        <f>IF(Table1[[#This Row],[ID ROW]]&lt;=12,Table1[[#This Row],[ID ROW]],Table1[[#This Row],[ID ROW]]+INT((Table1[[#This Row],[ID ROW]]-1)/12)*2)</f>
        <v>68</v>
      </c>
      <c r="N850" s="10" t="str">
        <f t="shared" si="55"/>
        <v>LSR68B2</v>
      </c>
      <c r="O850" s="10">
        <f>IF(Table1[[#This Row],[ID ROW]]&lt;=12,1,INT((Table1[[#This Row],[ID ROW]]-1)/12)+1)</f>
        <v>5</v>
      </c>
      <c r="P850" s="10">
        <f>Table1[[#This Row],[ID ROW]]-((Table1[[#This Row],[SECT]]-1)*12)</f>
        <v>12</v>
      </c>
    </row>
    <row r="851" spans="1:16" ht="15.75" customHeight="1" x14ac:dyDescent="0.25">
      <c r="A851" s="6" t="s">
        <v>3032</v>
      </c>
      <c r="B851" s="6" t="s">
        <v>3033</v>
      </c>
      <c r="C851" s="6" t="s">
        <v>3034</v>
      </c>
      <c r="F851" s="7" t="s">
        <v>3035</v>
      </c>
      <c r="G851" s="8">
        <v>328</v>
      </c>
      <c r="H851" s="21" t="s">
        <v>1898</v>
      </c>
      <c r="I851" s="9">
        <f t="shared" si="54"/>
        <v>60</v>
      </c>
      <c r="J851" s="9">
        <f t="shared" si="53"/>
        <v>3</v>
      </c>
      <c r="K851" s="10" t="str">
        <f t="shared" si="56"/>
        <v>S2R60B3</v>
      </c>
      <c r="L851" s="10" t="s">
        <v>1899</v>
      </c>
      <c r="M851" s="10">
        <f>IF(Table1[[#This Row],[ID ROW]]&lt;=12,Table1[[#This Row],[ID ROW]],Table1[[#This Row],[ID ROW]]+INT((Table1[[#This Row],[ID ROW]]-1)/12)*2)</f>
        <v>68</v>
      </c>
      <c r="N851" s="10" t="str">
        <f t="shared" si="55"/>
        <v>LSR68B3</v>
      </c>
      <c r="O851" s="10">
        <f>IF(Table1[[#This Row],[ID ROW]]&lt;=12,1,INT((Table1[[#This Row],[ID ROW]]-1)/12)+1)</f>
        <v>5</v>
      </c>
      <c r="P851" s="10">
        <f>Table1[[#This Row],[ID ROW]]-((Table1[[#This Row],[SECT]]-1)*12)</f>
        <v>12</v>
      </c>
    </row>
    <row r="852" spans="1:16" ht="15.75" customHeight="1" x14ac:dyDescent="0.3">
      <c r="A852" s="6" t="s">
        <v>3036</v>
      </c>
      <c r="B852" s="6" t="s">
        <v>404</v>
      </c>
      <c r="C852" s="6" t="s">
        <v>52</v>
      </c>
      <c r="F852" s="13" t="s">
        <v>3037</v>
      </c>
      <c r="G852" s="8">
        <v>329</v>
      </c>
      <c r="H852" s="21" t="s">
        <v>1898</v>
      </c>
      <c r="I852" s="9">
        <f t="shared" si="54"/>
        <v>60</v>
      </c>
      <c r="J852" s="9">
        <f t="shared" si="53"/>
        <v>4</v>
      </c>
      <c r="K852" s="10" t="str">
        <f t="shared" si="56"/>
        <v>S2R60B4</v>
      </c>
      <c r="L852" s="10" t="s">
        <v>1899</v>
      </c>
      <c r="M852" s="10">
        <f>IF(Table1[[#This Row],[ID ROW]]&lt;=12,Table1[[#This Row],[ID ROW]],Table1[[#This Row],[ID ROW]]+INT((Table1[[#This Row],[ID ROW]]-1)/12)*2)</f>
        <v>68</v>
      </c>
      <c r="N852" s="10" t="str">
        <f t="shared" si="55"/>
        <v>LSR68B4</v>
      </c>
      <c r="O852" s="10">
        <f>IF(Table1[[#This Row],[ID ROW]]&lt;=12,1,INT((Table1[[#This Row],[ID ROW]]-1)/12)+1)</f>
        <v>5</v>
      </c>
      <c r="P852" s="10">
        <f>Table1[[#This Row],[ID ROW]]-((Table1[[#This Row],[SECT]]-1)*12)</f>
        <v>12</v>
      </c>
    </row>
    <row r="853" spans="1:16" ht="15.75" customHeight="1" x14ac:dyDescent="0.25">
      <c r="A853" s="6" t="s">
        <v>3038</v>
      </c>
      <c r="B853" s="6" t="s">
        <v>150</v>
      </c>
      <c r="C853" s="6" t="s">
        <v>1236</v>
      </c>
      <c r="F853" s="7" t="s">
        <v>3037</v>
      </c>
      <c r="G853" s="8">
        <v>330</v>
      </c>
      <c r="H853" s="21" t="s">
        <v>1898</v>
      </c>
      <c r="I853" s="9">
        <f t="shared" si="54"/>
        <v>60</v>
      </c>
      <c r="J853" s="9">
        <f t="shared" si="53"/>
        <v>5</v>
      </c>
      <c r="K853" s="10" t="str">
        <f t="shared" si="56"/>
        <v>S2R60B5</v>
      </c>
      <c r="L853" s="10" t="s">
        <v>1899</v>
      </c>
      <c r="M853" s="10">
        <f>IF(Table1[[#This Row],[ID ROW]]&lt;=12,Table1[[#This Row],[ID ROW]],Table1[[#This Row],[ID ROW]]+INT((Table1[[#This Row],[ID ROW]]-1)/12)*2)</f>
        <v>68</v>
      </c>
      <c r="N853" s="10" t="str">
        <f t="shared" si="55"/>
        <v>LSR68B5</v>
      </c>
      <c r="O853" s="10">
        <f>IF(Table1[[#This Row],[ID ROW]]&lt;=12,1,INT((Table1[[#This Row],[ID ROW]]-1)/12)+1)</f>
        <v>5</v>
      </c>
      <c r="P853" s="10">
        <f>Table1[[#This Row],[ID ROW]]-((Table1[[#This Row],[SECT]]-1)*12)</f>
        <v>12</v>
      </c>
    </row>
    <row r="854" spans="1:16" ht="15.75" customHeight="1" x14ac:dyDescent="0.3">
      <c r="A854" s="25" t="s">
        <v>3039</v>
      </c>
      <c r="B854" s="6" t="s">
        <v>3040</v>
      </c>
      <c r="C854" s="6" t="s">
        <v>3041</v>
      </c>
      <c r="D854" s="6" t="s">
        <v>3042</v>
      </c>
      <c r="F854" s="13" t="s">
        <v>3043</v>
      </c>
      <c r="G854" s="8">
        <v>331</v>
      </c>
      <c r="H854" s="21" t="s">
        <v>1898</v>
      </c>
      <c r="I854" s="9">
        <f t="shared" si="54"/>
        <v>61</v>
      </c>
      <c r="J854" s="9">
        <f t="shared" si="53"/>
        <v>1</v>
      </c>
      <c r="K854" s="10" t="str">
        <f t="shared" si="56"/>
        <v>S2R61B1</v>
      </c>
      <c r="L854" s="10" t="s">
        <v>1899</v>
      </c>
      <c r="M854" s="10">
        <f>IF(Table1[[#This Row],[ID ROW]]&lt;=12,Table1[[#This Row],[ID ROW]],Table1[[#This Row],[ID ROW]]+INT((Table1[[#This Row],[ID ROW]]-1)/12)*2)</f>
        <v>71</v>
      </c>
      <c r="N854" s="10" t="str">
        <f t="shared" si="55"/>
        <v>LSR71B1</v>
      </c>
      <c r="O854" s="10">
        <f>IF(Table1[[#This Row],[ID ROW]]&lt;=12,1,INT((Table1[[#This Row],[ID ROW]]-1)/12)+1)</f>
        <v>6</v>
      </c>
      <c r="P854" s="10">
        <f>Table1[[#This Row],[ID ROW]]-((Table1[[#This Row],[SECT]]-1)*12)</f>
        <v>1</v>
      </c>
    </row>
    <row r="855" spans="1:16" ht="15.75" customHeight="1" x14ac:dyDescent="0.25">
      <c r="A855" s="6" t="s">
        <v>3044</v>
      </c>
      <c r="B855" s="6" t="s">
        <v>3045</v>
      </c>
      <c r="C855" s="6" t="s">
        <v>3046</v>
      </c>
      <c r="D855" s="6" t="s">
        <v>3047</v>
      </c>
      <c r="F855" s="7" t="s">
        <v>3048</v>
      </c>
      <c r="G855" s="8">
        <v>332</v>
      </c>
      <c r="H855" s="21" t="s">
        <v>1898</v>
      </c>
      <c r="I855" s="9">
        <f t="shared" si="54"/>
        <v>61</v>
      </c>
      <c r="J855" s="9">
        <f t="shared" si="53"/>
        <v>2</v>
      </c>
      <c r="K855" s="10" t="str">
        <f t="shared" si="56"/>
        <v>S2R61B2</v>
      </c>
      <c r="L855" s="10" t="s">
        <v>1899</v>
      </c>
      <c r="M855" s="10">
        <f>IF(Table1[[#This Row],[ID ROW]]&lt;=12,Table1[[#This Row],[ID ROW]],Table1[[#This Row],[ID ROW]]+INT((Table1[[#This Row],[ID ROW]]-1)/12)*2)</f>
        <v>71</v>
      </c>
      <c r="N855" s="10" t="str">
        <f t="shared" si="55"/>
        <v>LSR71B2</v>
      </c>
      <c r="O855" s="10">
        <f>IF(Table1[[#This Row],[ID ROW]]&lt;=12,1,INT((Table1[[#This Row],[ID ROW]]-1)/12)+1)</f>
        <v>6</v>
      </c>
      <c r="P855" s="10">
        <f>Table1[[#This Row],[ID ROW]]-((Table1[[#This Row],[SECT]]-1)*12)</f>
        <v>1</v>
      </c>
    </row>
    <row r="856" spans="1:16" ht="15.75" customHeight="1" x14ac:dyDescent="0.3">
      <c r="A856" s="6" t="s">
        <v>3049</v>
      </c>
      <c r="B856" s="6" t="s">
        <v>1681</v>
      </c>
      <c r="C856" s="6" t="s">
        <v>150</v>
      </c>
      <c r="D856" s="6" t="s">
        <v>3050</v>
      </c>
      <c r="F856" s="13" t="s">
        <v>3048</v>
      </c>
      <c r="G856" s="8">
        <v>333</v>
      </c>
      <c r="H856" s="21" t="s">
        <v>1898</v>
      </c>
      <c r="I856" s="9">
        <f t="shared" si="54"/>
        <v>61</v>
      </c>
      <c r="J856" s="9">
        <f t="shared" si="53"/>
        <v>3</v>
      </c>
      <c r="K856" s="10" t="str">
        <f t="shared" si="56"/>
        <v>S2R61B3</v>
      </c>
      <c r="L856" s="10" t="s">
        <v>1899</v>
      </c>
      <c r="M856" s="10">
        <f>IF(Table1[[#This Row],[ID ROW]]&lt;=12,Table1[[#This Row],[ID ROW]],Table1[[#This Row],[ID ROW]]+INT((Table1[[#This Row],[ID ROW]]-1)/12)*2)</f>
        <v>71</v>
      </c>
      <c r="N856" s="10" t="str">
        <f t="shared" si="55"/>
        <v>LSR71B3</v>
      </c>
      <c r="O856" s="10">
        <f>IF(Table1[[#This Row],[ID ROW]]&lt;=12,1,INT((Table1[[#This Row],[ID ROW]]-1)/12)+1)</f>
        <v>6</v>
      </c>
      <c r="P856" s="10">
        <f>Table1[[#This Row],[ID ROW]]-((Table1[[#This Row],[SECT]]-1)*12)</f>
        <v>1</v>
      </c>
    </row>
    <row r="857" spans="1:16" ht="15.75" customHeight="1" x14ac:dyDescent="0.25">
      <c r="A857" s="6" t="s">
        <v>3051</v>
      </c>
      <c r="B857" s="6" t="s">
        <v>567</v>
      </c>
      <c r="C857" s="6" t="s">
        <v>542</v>
      </c>
      <c r="D857" s="6" t="s">
        <v>3052</v>
      </c>
      <c r="F857" s="7" t="s">
        <v>3053</v>
      </c>
      <c r="G857" s="8">
        <v>334</v>
      </c>
      <c r="H857" s="21" t="s">
        <v>1898</v>
      </c>
      <c r="I857" s="9">
        <f t="shared" si="54"/>
        <v>61</v>
      </c>
      <c r="J857" s="9">
        <f t="shared" si="53"/>
        <v>4</v>
      </c>
      <c r="K857" s="10" t="str">
        <f t="shared" si="56"/>
        <v>S2R61B4</v>
      </c>
      <c r="L857" s="10" t="s">
        <v>1899</v>
      </c>
      <c r="M857" s="10">
        <f>IF(Table1[[#This Row],[ID ROW]]&lt;=12,Table1[[#This Row],[ID ROW]],Table1[[#This Row],[ID ROW]]+INT((Table1[[#This Row],[ID ROW]]-1)/12)*2)</f>
        <v>71</v>
      </c>
      <c r="N857" s="10" t="str">
        <f t="shared" si="55"/>
        <v>LSR71B4</v>
      </c>
      <c r="O857" s="10">
        <f>IF(Table1[[#This Row],[ID ROW]]&lt;=12,1,INT((Table1[[#This Row],[ID ROW]]-1)/12)+1)</f>
        <v>6</v>
      </c>
      <c r="P857" s="10">
        <f>Table1[[#This Row],[ID ROW]]-((Table1[[#This Row],[SECT]]-1)*12)</f>
        <v>1</v>
      </c>
    </row>
    <row r="858" spans="1:16" ht="15.75" customHeight="1" x14ac:dyDescent="0.3">
      <c r="A858" s="6" t="s">
        <v>3054</v>
      </c>
      <c r="B858" s="6" t="s">
        <v>3055</v>
      </c>
      <c r="D858" s="6" t="s">
        <v>67</v>
      </c>
      <c r="F858" s="13" t="s">
        <v>2253</v>
      </c>
      <c r="G858" s="8">
        <v>335</v>
      </c>
      <c r="H858" s="21" t="s">
        <v>1898</v>
      </c>
      <c r="I858" s="9">
        <f t="shared" si="54"/>
        <v>61</v>
      </c>
      <c r="J858" s="9">
        <f t="shared" si="53"/>
        <v>5</v>
      </c>
      <c r="K858" s="10" t="str">
        <f t="shared" si="56"/>
        <v>S2R61B5</v>
      </c>
      <c r="L858" s="10" t="s">
        <v>1899</v>
      </c>
      <c r="M858" s="10">
        <f>IF(Table1[[#This Row],[ID ROW]]&lt;=12,Table1[[#This Row],[ID ROW]],Table1[[#This Row],[ID ROW]]+INT((Table1[[#This Row],[ID ROW]]-1)/12)*2)</f>
        <v>71</v>
      </c>
      <c r="N858" s="10" t="str">
        <f t="shared" si="55"/>
        <v>LSR71B5</v>
      </c>
      <c r="O858" s="10">
        <f>IF(Table1[[#This Row],[ID ROW]]&lt;=12,1,INT((Table1[[#This Row],[ID ROW]]-1)/12)+1)</f>
        <v>6</v>
      </c>
      <c r="P858" s="10">
        <f>Table1[[#This Row],[ID ROW]]-((Table1[[#This Row],[SECT]]-1)*12)</f>
        <v>1</v>
      </c>
    </row>
    <row r="859" spans="1:16" ht="15.75" customHeight="1" x14ac:dyDescent="0.25">
      <c r="A859" s="6" t="s">
        <v>3056</v>
      </c>
      <c r="B859" s="6" t="s">
        <v>3057</v>
      </c>
      <c r="C859" s="6" t="s">
        <v>117</v>
      </c>
      <c r="D859" s="6" t="s">
        <v>3058</v>
      </c>
      <c r="F859" s="7" t="s">
        <v>3059</v>
      </c>
      <c r="G859" s="8">
        <v>336</v>
      </c>
      <c r="H859" s="21" t="s">
        <v>1898</v>
      </c>
      <c r="I859" s="9">
        <f t="shared" si="54"/>
        <v>61</v>
      </c>
      <c r="J859" s="9">
        <f t="shared" ref="J859:J922" si="57">IF(MOD(G859-1,11)&lt;6,(MOD(G859-1,11)+1-(5*FLOOR(MOD(G859-1,11),6))),(MOD(G859-1,11))-5)</f>
        <v>6</v>
      </c>
      <c r="K859" s="10" t="str">
        <f t="shared" si="56"/>
        <v>S2R61B6</v>
      </c>
      <c r="L859" s="10" t="s">
        <v>1899</v>
      </c>
      <c r="M859" s="10">
        <f>IF(Table1[[#This Row],[ID ROW]]&lt;=12,Table1[[#This Row],[ID ROW]],Table1[[#This Row],[ID ROW]]+INT((Table1[[#This Row],[ID ROW]]-1)/12)*2)</f>
        <v>71</v>
      </c>
      <c r="N859" s="10" t="str">
        <f t="shared" si="55"/>
        <v>LSR71B6</v>
      </c>
      <c r="O859" s="10">
        <f>IF(Table1[[#This Row],[ID ROW]]&lt;=12,1,INT((Table1[[#This Row],[ID ROW]]-1)/12)+1)</f>
        <v>6</v>
      </c>
      <c r="P859" s="10">
        <f>Table1[[#This Row],[ID ROW]]-((Table1[[#This Row],[SECT]]-1)*12)</f>
        <v>1</v>
      </c>
    </row>
    <row r="860" spans="1:16" ht="15.75" customHeight="1" x14ac:dyDescent="0.3">
      <c r="A860" s="6" t="s">
        <v>3060</v>
      </c>
      <c r="B860" s="6" t="s">
        <v>3061</v>
      </c>
      <c r="C860" s="6" t="s">
        <v>3062</v>
      </c>
      <c r="D860" s="6" t="s">
        <v>3063</v>
      </c>
      <c r="F860" s="13" t="s">
        <v>3064</v>
      </c>
      <c r="G860" s="8">
        <v>337</v>
      </c>
      <c r="H860" s="21" t="s">
        <v>1898</v>
      </c>
      <c r="I860" s="9">
        <f t="shared" ref="I860:I923" si="58">INT((G860-1)/11)*2 + IF(MOD(G860-1, 11) &lt; 6, 1, 2)</f>
        <v>62</v>
      </c>
      <c r="J860" s="9">
        <f t="shared" si="57"/>
        <v>1</v>
      </c>
      <c r="K860" s="10" t="str">
        <f t="shared" si="56"/>
        <v>S2R62B1</v>
      </c>
      <c r="L860" s="10" t="s">
        <v>1899</v>
      </c>
      <c r="M860" s="10">
        <f>IF(Table1[[#This Row],[ID ROW]]&lt;=12,Table1[[#This Row],[ID ROW]],Table1[[#This Row],[ID ROW]]+INT((Table1[[#This Row],[ID ROW]]-1)/12)*2)</f>
        <v>72</v>
      </c>
      <c r="N860" s="10" t="str">
        <f t="shared" ref="N860:N923" si="59">L860&amp;"R"&amp;M860&amp;"B"&amp;J860</f>
        <v>LSR72B1</v>
      </c>
      <c r="O860" s="10">
        <f>IF(Table1[[#This Row],[ID ROW]]&lt;=12,1,INT((Table1[[#This Row],[ID ROW]]-1)/12)+1)</f>
        <v>6</v>
      </c>
      <c r="P860" s="10">
        <f>Table1[[#This Row],[ID ROW]]-((Table1[[#This Row],[SECT]]-1)*12)</f>
        <v>2</v>
      </c>
    </row>
    <row r="861" spans="1:16" ht="15.75" customHeight="1" x14ac:dyDescent="0.25">
      <c r="A861" s="6" t="s">
        <v>3065</v>
      </c>
      <c r="B861" s="6" t="s">
        <v>3066</v>
      </c>
      <c r="C861" s="6" t="s">
        <v>2995</v>
      </c>
      <c r="D861" s="6" t="s">
        <v>3067</v>
      </c>
      <c r="F861" s="7" t="s">
        <v>3064</v>
      </c>
      <c r="G861" s="8">
        <v>338</v>
      </c>
      <c r="H861" s="21" t="s">
        <v>1898</v>
      </c>
      <c r="I861" s="9">
        <f t="shared" si="58"/>
        <v>62</v>
      </c>
      <c r="J861" s="9">
        <f t="shared" si="57"/>
        <v>2</v>
      </c>
      <c r="K861" s="10" t="str">
        <f t="shared" si="56"/>
        <v>S2R62B2</v>
      </c>
      <c r="L861" s="10" t="s">
        <v>1899</v>
      </c>
      <c r="M861" s="10">
        <f>IF(Table1[[#This Row],[ID ROW]]&lt;=12,Table1[[#This Row],[ID ROW]],Table1[[#This Row],[ID ROW]]+INT((Table1[[#This Row],[ID ROW]]-1)/12)*2)</f>
        <v>72</v>
      </c>
      <c r="N861" s="10" t="str">
        <f t="shared" si="59"/>
        <v>LSR72B2</v>
      </c>
      <c r="O861" s="10">
        <f>IF(Table1[[#This Row],[ID ROW]]&lt;=12,1,INT((Table1[[#This Row],[ID ROW]]-1)/12)+1)</f>
        <v>6</v>
      </c>
      <c r="P861" s="10">
        <f>Table1[[#This Row],[ID ROW]]-((Table1[[#This Row],[SECT]]-1)*12)</f>
        <v>2</v>
      </c>
    </row>
    <row r="862" spans="1:16" ht="15.75" customHeight="1" x14ac:dyDescent="0.3">
      <c r="A862" s="6" t="s">
        <v>3068</v>
      </c>
      <c r="B862" s="6" t="s">
        <v>2832</v>
      </c>
      <c r="C862" s="6" t="s">
        <v>3069</v>
      </c>
      <c r="D862" s="6" t="s">
        <v>925</v>
      </c>
      <c r="F862" s="13" t="s">
        <v>3070</v>
      </c>
      <c r="G862" s="8">
        <v>339</v>
      </c>
      <c r="H862" s="21" t="s">
        <v>1898</v>
      </c>
      <c r="I862" s="9">
        <f t="shared" si="58"/>
        <v>62</v>
      </c>
      <c r="J862" s="9">
        <f t="shared" si="57"/>
        <v>3</v>
      </c>
      <c r="K862" s="10" t="str">
        <f t="shared" si="56"/>
        <v>S2R62B3</v>
      </c>
      <c r="L862" s="10" t="s">
        <v>1899</v>
      </c>
      <c r="M862" s="10">
        <f>IF(Table1[[#This Row],[ID ROW]]&lt;=12,Table1[[#This Row],[ID ROW]],Table1[[#This Row],[ID ROW]]+INT((Table1[[#This Row],[ID ROW]]-1)/12)*2)</f>
        <v>72</v>
      </c>
      <c r="N862" s="10" t="str">
        <f t="shared" si="59"/>
        <v>LSR72B3</v>
      </c>
      <c r="O862" s="10">
        <f>IF(Table1[[#This Row],[ID ROW]]&lt;=12,1,INT((Table1[[#This Row],[ID ROW]]-1)/12)+1)</f>
        <v>6</v>
      </c>
      <c r="P862" s="10">
        <f>Table1[[#This Row],[ID ROW]]-((Table1[[#This Row],[SECT]]-1)*12)</f>
        <v>2</v>
      </c>
    </row>
    <row r="863" spans="1:16" ht="15.75" customHeight="1" x14ac:dyDescent="0.25">
      <c r="A863" s="6" t="s">
        <v>3071</v>
      </c>
      <c r="B863" s="6" t="s">
        <v>3072</v>
      </c>
      <c r="C863" s="6" t="s">
        <v>67</v>
      </c>
      <c r="D863" s="6" t="s">
        <v>3073</v>
      </c>
      <c r="F863" s="7" t="s">
        <v>3074</v>
      </c>
      <c r="G863" s="8">
        <v>340</v>
      </c>
      <c r="H863" s="21" t="s">
        <v>1898</v>
      </c>
      <c r="I863" s="9">
        <f t="shared" si="58"/>
        <v>62</v>
      </c>
      <c r="J863" s="9">
        <f t="shared" si="57"/>
        <v>4</v>
      </c>
      <c r="K863" s="10" t="str">
        <f t="shared" si="56"/>
        <v>S2R62B4</v>
      </c>
      <c r="L863" s="10" t="s">
        <v>1899</v>
      </c>
      <c r="M863" s="10">
        <f>IF(Table1[[#This Row],[ID ROW]]&lt;=12,Table1[[#This Row],[ID ROW]],Table1[[#This Row],[ID ROW]]+INT((Table1[[#This Row],[ID ROW]]-1)/12)*2)</f>
        <v>72</v>
      </c>
      <c r="N863" s="10" t="str">
        <f t="shared" si="59"/>
        <v>LSR72B4</v>
      </c>
      <c r="O863" s="10">
        <f>IF(Table1[[#This Row],[ID ROW]]&lt;=12,1,INT((Table1[[#This Row],[ID ROW]]-1)/12)+1)</f>
        <v>6</v>
      </c>
      <c r="P863" s="10">
        <f>Table1[[#This Row],[ID ROW]]-((Table1[[#This Row],[SECT]]-1)*12)</f>
        <v>2</v>
      </c>
    </row>
    <row r="864" spans="1:16" ht="15.75" customHeight="1" x14ac:dyDescent="0.3">
      <c r="A864" s="6" t="s">
        <v>3075</v>
      </c>
      <c r="B864" s="6" t="s">
        <v>1177</v>
      </c>
      <c r="C864" s="6" t="s">
        <v>3076</v>
      </c>
      <c r="F864" s="13" t="s">
        <v>3077</v>
      </c>
      <c r="G864" s="8">
        <v>341</v>
      </c>
      <c r="H864" s="21" t="s">
        <v>1898</v>
      </c>
      <c r="I864" s="9">
        <f t="shared" si="58"/>
        <v>62</v>
      </c>
      <c r="J864" s="9">
        <f t="shared" si="57"/>
        <v>5</v>
      </c>
      <c r="K864" s="10" t="str">
        <f t="shared" si="56"/>
        <v>S2R62B5</v>
      </c>
      <c r="L864" s="10" t="s">
        <v>1899</v>
      </c>
      <c r="M864" s="10">
        <f>IF(Table1[[#This Row],[ID ROW]]&lt;=12,Table1[[#This Row],[ID ROW]],Table1[[#This Row],[ID ROW]]+INT((Table1[[#This Row],[ID ROW]]-1)/12)*2)</f>
        <v>72</v>
      </c>
      <c r="N864" s="10" t="str">
        <f t="shared" si="59"/>
        <v>LSR72B5</v>
      </c>
      <c r="O864" s="10">
        <f>IF(Table1[[#This Row],[ID ROW]]&lt;=12,1,INT((Table1[[#This Row],[ID ROW]]-1)/12)+1)</f>
        <v>6</v>
      </c>
      <c r="P864" s="10">
        <f>Table1[[#This Row],[ID ROW]]-((Table1[[#This Row],[SECT]]-1)*12)</f>
        <v>2</v>
      </c>
    </row>
    <row r="865" spans="1:16" ht="15.75" customHeight="1" x14ac:dyDescent="0.25">
      <c r="A865" s="6" t="s">
        <v>3078</v>
      </c>
      <c r="B865" s="6" t="s">
        <v>3079</v>
      </c>
      <c r="C865" s="6" t="s">
        <v>2489</v>
      </c>
      <c r="F865" s="7" t="s">
        <v>3080</v>
      </c>
      <c r="G865" s="8">
        <v>342</v>
      </c>
      <c r="H865" s="21" t="s">
        <v>1898</v>
      </c>
      <c r="I865" s="9">
        <f t="shared" si="58"/>
        <v>63</v>
      </c>
      <c r="J865" s="9">
        <f t="shared" si="57"/>
        <v>1</v>
      </c>
      <c r="K865" s="10" t="str">
        <f t="shared" si="56"/>
        <v>S2R63B1</v>
      </c>
      <c r="L865" s="10" t="s">
        <v>1899</v>
      </c>
      <c r="M865" s="10">
        <f>IF(Table1[[#This Row],[ID ROW]]&lt;=12,Table1[[#This Row],[ID ROW]],Table1[[#This Row],[ID ROW]]+INT((Table1[[#This Row],[ID ROW]]-1)/12)*2)</f>
        <v>73</v>
      </c>
      <c r="N865" s="10" t="str">
        <f t="shared" si="59"/>
        <v>LSR73B1</v>
      </c>
      <c r="O865" s="10">
        <f>IF(Table1[[#This Row],[ID ROW]]&lt;=12,1,INT((Table1[[#This Row],[ID ROW]]-1)/12)+1)</f>
        <v>6</v>
      </c>
      <c r="P865" s="10">
        <f>Table1[[#This Row],[ID ROW]]-((Table1[[#This Row],[SECT]]-1)*12)</f>
        <v>3</v>
      </c>
    </row>
    <row r="866" spans="1:16" ht="15.75" customHeight="1" x14ac:dyDescent="0.3">
      <c r="A866" s="6" t="s">
        <v>3081</v>
      </c>
      <c r="B866" s="6" t="s">
        <v>3082</v>
      </c>
      <c r="C866" s="6" t="s">
        <v>3083</v>
      </c>
      <c r="D866" s="6" t="s">
        <v>2293</v>
      </c>
      <c r="F866" s="13" t="s">
        <v>3084</v>
      </c>
      <c r="G866" s="8">
        <v>343</v>
      </c>
      <c r="H866" s="21" t="s">
        <v>1898</v>
      </c>
      <c r="I866" s="9">
        <f t="shared" si="58"/>
        <v>63</v>
      </c>
      <c r="J866" s="9">
        <f t="shared" si="57"/>
        <v>2</v>
      </c>
      <c r="K866" s="10" t="str">
        <f t="shared" si="56"/>
        <v>S2R63B2</v>
      </c>
      <c r="L866" s="10" t="s">
        <v>1899</v>
      </c>
      <c r="M866" s="10">
        <f>IF(Table1[[#This Row],[ID ROW]]&lt;=12,Table1[[#This Row],[ID ROW]],Table1[[#This Row],[ID ROW]]+INT((Table1[[#This Row],[ID ROW]]-1)/12)*2)</f>
        <v>73</v>
      </c>
      <c r="N866" s="10" t="str">
        <f t="shared" si="59"/>
        <v>LSR73B2</v>
      </c>
      <c r="O866" s="10">
        <f>IF(Table1[[#This Row],[ID ROW]]&lt;=12,1,INT((Table1[[#This Row],[ID ROW]]-1)/12)+1)</f>
        <v>6</v>
      </c>
      <c r="P866" s="10">
        <f>Table1[[#This Row],[ID ROW]]-((Table1[[#This Row],[SECT]]-1)*12)</f>
        <v>3</v>
      </c>
    </row>
    <row r="867" spans="1:16" ht="15.75" customHeight="1" x14ac:dyDescent="0.25">
      <c r="A867" s="6" t="s">
        <v>3085</v>
      </c>
      <c r="B867" s="6" t="s">
        <v>731</v>
      </c>
      <c r="F867" s="7" t="s">
        <v>3086</v>
      </c>
      <c r="G867" s="8">
        <v>344</v>
      </c>
      <c r="H867" s="21" t="s">
        <v>1898</v>
      </c>
      <c r="I867" s="9">
        <f t="shared" si="58"/>
        <v>63</v>
      </c>
      <c r="J867" s="9">
        <f t="shared" si="57"/>
        <v>3</v>
      </c>
      <c r="K867" s="10" t="str">
        <f t="shared" si="56"/>
        <v>S2R63B3</v>
      </c>
      <c r="L867" s="10" t="s">
        <v>1899</v>
      </c>
      <c r="M867" s="10">
        <f>IF(Table1[[#This Row],[ID ROW]]&lt;=12,Table1[[#This Row],[ID ROW]],Table1[[#This Row],[ID ROW]]+INT((Table1[[#This Row],[ID ROW]]-1)/12)*2)</f>
        <v>73</v>
      </c>
      <c r="N867" s="10" t="str">
        <f t="shared" si="59"/>
        <v>LSR73B3</v>
      </c>
      <c r="O867" s="10">
        <f>IF(Table1[[#This Row],[ID ROW]]&lt;=12,1,INT((Table1[[#This Row],[ID ROW]]-1)/12)+1)</f>
        <v>6</v>
      </c>
      <c r="P867" s="10">
        <f>Table1[[#This Row],[ID ROW]]-((Table1[[#This Row],[SECT]]-1)*12)</f>
        <v>3</v>
      </c>
    </row>
    <row r="868" spans="1:16" ht="15.75" customHeight="1" x14ac:dyDescent="0.3">
      <c r="A868" s="6" t="s">
        <v>235</v>
      </c>
      <c r="B868" s="6" t="s">
        <v>234</v>
      </c>
      <c r="D868" s="6" t="s">
        <v>3087</v>
      </c>
      <c r="F868" s="13" t="s">
        <v>3088</v>
      </c>
      <c r="G868" s="8">
        <v>345</v>
      </c>
      <c r="H868" s="21" t="s">
        <v>1898</v>
      </c>
      <c r="I868" s="9">
        <f t="shared" si="58"/>
        <v>63</v>
      </c>
      <c r="J868" s="9">
        <f t="shared" si="57"/>
        <v>4</v>
      </c>
      <c r="K868" s="10" t="str">
        <f t="shared" si="56"/>
        <v>S2R63B4</v>
      </c>
      <c r="L868" s="10" t="s">
        <v>1899</v>
      </c>
      <c r="M868" s="10">
        <f>IF(Table1[[#This Row],[ID ROW]]&lt;=12,Table1[[#This Row],[ID ROW]],Table1[[#This Row],[ID ROW]]+INT((Table1[[#This Row],[ID ROW]]-1)/12)*2)</f>
        <v>73</v>
      </c>
      <c r="N868" s="10" t="str">
        <f t="shared" si="59"/>
        <v>LSR73B4</v>
      </c>
      <c r="O868" s="10">
        <f>IF(Table1[[#This Row],[ID ROW]]&lt;=12,1,INT((Table1[[#This Row],[ID ROW]]-1)/12)+1)</f>
        <v>6</v>
      </c>
      <c r="P868" s="10">
        <f>Table1[[#This Row],[ID ROW]]-((Table1[[#This Row],[SECT]]-1)*12)</f>
        <v>3</v>
      </c>
    </row>
    <row r="869" spans="1:16" ht="15.75" customHeight="1" x14ac:dyDescent="0.25">
      <c r="A869" s="6" t="s">
        <v>3089</v>
      </c>
      <c r="B869" s="6" t="s">
        <v>544</v>
      </c>
      <c r="C869" s="6" t="s">
        <v>248</v>
      </c>
      <c r="D869" s="6" t="s">
        <v>3090</v>
      </c>
      <c r="F869" s="7" t="s">
        <v>3091</v>
      </c>
      <c r="G869" s="8">
        <v>346</v>
      </c>
      <c r="H869" s="21" t="s">
        <v>1898</v>
      </c>
      <c r="I869" s="9">
        <f t="shared" si="58"/>
        <v>63</v>
      </c>
      <c r="J869" s="9">
        <f t="shared" si="57"/>
        <v>5</v>
      </c>
      <c r="K869" s="10" t="str">
        <f t="shared" si="56"/>
        <v>S2R63B5</v>
      </c>
      <c r="L869" s="10" t="s">
        <v>1899</v>
      </c>
      <c r="M869" s="10">
        <f>IF(Table1[[#This Row],[ID ROW]]&lt;=12,Table1[[#This Row],[ID ROW]],Table1[[#This Row],[ID ROW]]+INT((Table1[[#This Row],[ID ROW]]-1)/12)*2)</f>
        <v>73</v>
      </c>
      <c r="N869" s="10" t="str">
        <f t="shared" si="59"/>
        <v>LSR73B5</v>
      </c>
      <c r="O869" s="10">
        <f>IF(Table1[[#This Row],[ID ROW]]&lt;=12,1,INT((Table1[[#This Row],[ID ROW]]-1)/12)+1)</f>
        <v>6</v>
      </c>
      <c r="P869" s="10">
        <f>Table1[[#This Row],[ID ROW]]-((Table1[[#This Row],[SECT]]-1)*12)</f>
        <v>3</v>
      </c>
    </row>
    <row r="870" spans="1:16" ht="15.75" customHeight="1" x14ac:dyDescent="0.3">
      <c r="A870" s="6" t="s">
        <v>3092</v>
      </c>
      <c r="B870" s="6" t="s">
        <v>3093</v>
      </c>
      <c r="C870" s="6" t="s">
        <v>3094</v>
      </c>
      <c r="D870" s="6" t="s">
        <v>52</v>
      </c>
      <c r="F870" s="13" t="s">
        <v>3095</v>
      </c>
      <c r="G870" s="8">
        <v>347</v>
      </c>
      <c r="H870" s="21" t="s">
        <v>1898</v>
      </c>
      <c r="I870" s="9">
        <f t="shared" si="58"/>
        <v>63</v>
      </c>
      <c r="J870" s="9">
        <f t="shared" si="57"/>
        <v>6</v>
      </c>
      <c r="K870" s="10" t="str">
        <f t="shared" si="56"/>
        <v>S2R63B6</v>
      </c>
      <c r="L870" s="10" t="s">
        <v>1899</v>
      </c>
      <c r="M870" s="10">
        <f>IF(Table1[[#This Row],[ID ROW]]&lt;=12,Table1[[#This Row],[ID ROW]],Table1[[#This Row],[ID ROW]]+INT((Table1[[#This Row],[ID ROW]]-1)/12)*2)</f>
        <v>73</v>
      </c>
      <c r="N870" s="10" t="str">
        <f t="shared" si="59"/>
        <v>LSR73B6</v>
      </c>
      <c r="O870" s="10">
        <f>IF(Table1[[#This Row],[ID ROW]]&lt;=12,1,INT((Table1[[#This Row],[ID ROW]]-1)/12)+1)</f>
        <v>6</v>
      </c>
      <c r="P870" s="10">
        <f>Table1[[#This Row],[ID ROW]]-((Table1[[#This Row],[SECT]]-1)*12)</f>
        <v>3</v>
      </c>
    </row>
    <row r="871" spans="1:16" ht="15.75" customHeight="1" x14ac:dyDescent="0.25">
      <c r="A871" s="6" t="s">
        <v>3096</v>
      </c>
      <c r="B871" s="6" t="s">
        <v>165</v>
      </c>
      <c r="C871" s="6" t="s">
        <v>3097</v>
      </c>
      <c r="D871" s="6" t="s">
        <v>117</v>
      </c>
      <c r="F871" s="7" t="s">
        <v>3098</v>
      </c>
      <c r="G871" s="8">
        <v>348</v>
      </c>
      <c r="H871" s="21" t="s">
        <v>1898</v>
      </c>
      <c r="I871" s="9">
        <f t="shared" si="58"/>
        <v>64</v>
      </c>
      <c r="J871" s="9">
        <f t="shared" si="57"/>
        <v>1</v>
      </c>
      <c r="K871" s="10" t="str">
        <f t="shared" si="56"/>
        <v>S2R64B1</v>
      </c>
      <c r="L871" s="10" t="s">
        <v>1899</v>
      </c>
      <c r="M871" s="10">
        <f>IF(Table1[[#This Row],[ID ROW]]&lt;=12,Table1[[#This Row],[ID ROW]],Table1[[#This Row],[ID ROW]]+INT((Table1[[#This Row],[ID ROW]]-1)/12)*2)</f>
        <v>74</v>
      </c>
      <c r="N871" s="10" t="str">
        <f t="shared" si="59"/>
        <v>LSR74B1</v>
      </c>
      <c r="O871" s="10">
        <f>IF(Table1[[#This Row],[ID ROW]]&lt;=12,1,INT((Table1[[#This Row],[ID ROW]]-1)/12)+1)</f>
        <v>6</v>
      </c>
      <c r="P871" s="10">
        <f>Table1[[#This Row],[ID ROW]]-((Table1[[#This Row],[SECT]]-1)*12)</f>
        <v>4</v>
      </c>
    </row>
    <row r="872" spans="1:16" ht="15.75" customHeight="1" x14ac:dyDescent="0.3">
      <c r="A872" s="6" t="s">
        <v>3099</v>
      </c>
      <c r="B872" s="6" t="s">
        <v>3100</v>
      </c>
      <c r="C872" s="6" t="s">
        <v>3101</v>
      </c>
      <c r="D872" s="6" t="s">
        <v>991</v>
      </c>
      <c r="F872" s="13" t="s">
        <v>3102</v>
      </c>
      <c r="G872" s="8">
        <v>349</v>
      </c>
      <c r="H872" s="21" t="s">
        <v>1898</v>
      </c>
      <c r="I872" s="9">
        <f t="shared" si="58"/>
        <v>64</v>
      </c>
      <c r="J872" s="9">
        <f t="shared" si="57"/>
        <v>2</v>
      </c>
      <c r="K872" s="10" t="str">
        <f t="shared" si="56"/>
        <v>S2R64B2</v>
      </c>
      <c r="L872" s="10" t="s">
        <v>1899</v>
      </c>
      <c r="M872" s="10">
        <f>IF(Table1[[#This Row],[ID ROW]]&lt;=12,Table1[[#This Row],[ID ROW]],Table1[[#This Row],[ID ROW]]+INT((Table1[[#This Row],[ID ROW]]-1)/12)*2)</f>
        <v>74</v>
      </c>
      <c r="N872" s="10" t="str">
        <f t="shared" si="59"/>
        <v>LSR74B2</v>
      </c>
      <c r="O872" s="10">
        <f>IF(Table1[[#This Row],[ID ROW]]&lt;=12,1,INT((Table1[[#This Row],[ID ROW]]-1)/12)+1)</f>
        <v>6</v>
      </c>
      <c r="P872" s="10">
        <f>Table1[[#This Row],[ID ROW]]-((Table1[[#This Row],[SECT]]-1)*12)</f>
        <v>4</v>
      </c>
    </row>
    <row r="873" spans="1:16" ht="15.75" customHeight="1" x14ac:dyDescent="0.25">
      <c r="A873" s="6" t="s">
        <v>3103</v>
      </c>
      <c r="B873" s="6" t="s">
        <v>3104</v>
      </c>
      <c r="C873" s="6" t="s">
        <v>731</v>
      </c>
      <c r="D873" s="6" t="s">
        <v>3105</v>
      </c>
      <c r="F873" s="7" t="s">
        <v>3106</v>
      </c>
      <c r="G873" s="8">
        <v>350</v>
      </c>
      <c r="H873" s="21" t="s">
        <v>1898</v>
      </c>
      <c r="I873" s="9">
        <f t="shared" si="58"/>
        <v>64</v>
      </c>
      <c r="J873" s="9">
        <f t="shared" si="57"/>
        <v>3</v>
      </c>
      <c r="K873" s="10" t="str">
        <f t="shared" si="56"/>
        <v>S2R64B3</v>
      </c>
      <c r="L873" s="10" t="s">
        <v>1899</v>
      </c>
      <c r="M873" s="10">
        <f>IF(Table1[[#This Row],[ID ROW]]&lt;=12,Table1[[#This Row],[ID ROW]],Table1[[#This Row],[ID ROW]]+INT((Table1[[#This Row],[ID ROW]]-1)/12)*2)</f>
        <v>74</v>
      </c>
      <c r="N873" s="10" t="str">
        <f t="shared" si="59"/>
        <v>LSR74B3</v>
      </c>
      <c r="O873" s="10">
        <f>IF(Table1[[#This Row],[ID ROW]]&lt;=12,1,INT((Table1[[#This Row],[ID ROW]]-1)/12)+1)</f>
        <v>6</v>
      </c>
      <c r="P873" s="10">
        <f>Table1[[#This Row],[ID ROW]]-((Table1[[#This Row],[SECT]]-1)*12)</f>
        <v>4</v>
      </c>
    </row>
    <row r="874" spans="1:16" ht="15.75" customHeight="1" x14ac:dyDescent="0.3">
      <c r="A874" s="6" t="s">
        <v>3107</v>
      </c>
      <c r="B874" s="6" t="s">
        <v>211</v>
      </c>
      <c r="C874" s="6" t="s">
        <v>322</v>
      </c>
      <c r="F874" s="13" t="s">
        <v>3108</v>
      </c>
      <c r="G874" s="8">
        <v>351</v>
      </c>
      <c r="H874" s="21" t="s">
        <v>1898</v>
      </c>
      <c r="I874" s="9">
        <f t="shared" si="58"/>
        <v>64</v>
      </c>
      <c r="J874" s="9">
        <f t="shared" si="57"/>
        <v>4</v>
      </c>
      <c r="K874" s="10" t="str">
        <f t="shared" si="56"/>
        <v>S2R64B4</v>
      </c>
      <c r="L874" s="10" t="s">
        <v>1899</v>
      </c>
      <c r="M874" s="10">
        <f>IF(Table1[[#This Row],[ID ROW]]&lt;=12,Table1[[#This Row],[ID ROW]],Table1[[#This Row],[ID ROW]]+INT((Table1[[#This Row],[ID ROW]]-1)/12)*2)</f>
        <v>74</v>
      </c>
      <c r="N874" s="10" t="str">
        <f t="shared" si="59"/>
        <v>LSR74B4</v>
      </c>
      <c r="O874" s="10">
        <f>IF(Table1[[#This Row],[ID ROW]]&lt;=12,1,INT((Table1[[#This Row],[ID ROW]]-1)/12)+1)</f>
        <v>6</v>
      </c>
      <c r="P874" s="10">
        <f>Table1[[#This Row],[ID ROW]]-((Table1[[#This Row],[SECT]]-1)*12)</f>
        <v>4</v>
      </c>
    </row>
    <row r="875" spans="1:16" ht="15.75" customHeight="1" x14ac:dyDescent="0.25">
      <c r="A875" s="6" t="s">
        <v>3109</v>
      </c>
      <c r="B875" s="6" t="s">
        <v>3110</v>
      </c>
      <c r="C875" s="6" t="s">
        <v>3111</v>
      </c>
      <c r="D875" s="6" t="s">
        <v>3112</v>
      </c>
      <c r="F875" s="7" t="s">
        <v>3113</v>
      </c>
      <c r="G875" s="8">
        <v>352</v>
      </c>
      <c r="H875" s="21" t="s">
        <v>1898</v>
      </c>
      <c r="I875" s="9">
        <f t="shared" si="58"/>
        <v>64</v>
      </c>
      <c r="J875" s="9">
        <f t="shared" si="57"/>
        <v>5</v>
      </c>
      <c r="K875" s="10" t="str">
        <f t="shared" si="56"/>
        <v>S2R64B5</v>
      </c>
      <c r="L875" s="10" t="s">
        <v>1899</v>
      </c>
      <c r="M875" s="10">
        <f>IF(Table1[[#This Row],[ID ROW]]&lt;=12,Table1[[#This Row],[ID ROW]],Table1[[#This Row],[ID ROW]]+INT((Table1[[#This Row],[ID ROW]]-1)/12)*2)</f>
        <v>74</v>
      </c>
      <c r="N875" s="10" t="str">
        <f t="shared" si="59"/>
        <v>LSR74B5</v>
      </c>
      <c r="O875" s="10">
        <f>IF(Table1[[#This Row],[ID ROW]]&lt;=12,1,INT((Table1[[#This Row],[ID ROW]]-1)/12)+1)</f>
        <v>6</v>
      </c>
      <c r="P875" s="10">
        <f>Table1[[#This Row],[ID ROW]]-((Table1[[#This Row],[SECT]]-1)*12)</f>
        <v>4</v>
      </c>
    </row>
    <row r="876" spans="1:16" ht="15.75" customHeight="1" x14ac:dyDescent="0.3">
      <c r="A876" s="6" t="s">
        <v>3114</v>
      </c>
      <c r="B876" s="6" t="s">
        <v>1334</v>
      </c>
      <c r="C876" s="6" t="s">
        <v>165</v>
      </c>
      <c r="D876" s="6" t="s">
        <v>3115</v>
      </c>
      <c r="F876" s="13" t="s">
        <v>3116</v>
      </c>
      <c r="G876" s="8">
        <v>353</v>
      </c>
      <c r="H876" s="21" t="s">
        <v>1898</v>
      </c>
      <c r="I876" s="9">
        <f t="shared" si="58"/>
        <v>65</v>
      </c>
      <c r="J876" s="9">
        <f t="shared" si="57"/>
        <v>1</v>
      </c>
      <c r="K876" s="10" t="str">
        <f t="shared" si="56"/>
        <v>S2R65B1</v>
      </c>
      <c r="L876" s="10" t="s">
        <v>1899</v>
      </c>
      <c r="M876" s="10">
        <f>IF(Table1[[#This Row],[ID ROW]]&lt;=12,Table1[[#This Row],[ID ROW]],Table1[[#This Row],[ID ROW]]+INT((Table1[[#This Row],[ID ROW]]-1)/12)*2)</f>
        <v>75</v>
      </c>
      <c r="N876" s="10" t="str">
        <f t="shared" si="59"/>
        <v>LSR75B1</v>
      </c>
      <c r="O876" s="10">
        <f>IF(Table1[[#This Row],[ID ROW]]&lt;=12,1,INT((Table1[[#This Row],[ID ROW]]-1)/12)+1)</f>
        <v>6</v>
      </c>
      <c r="P876" s="10">
        <f>Table1[[#This Row],[ID ROW]]-((Table1[[#This Row],[SECT]]-1)*12)</f>
        <v>5</v>
      </c>
    </row>
    <row r="877" spans="1:16" ht="15.75" customHeight="1" x14ac:dyDescent="0.25">
      <c r="A877" s="6" t="s">
        <v>3117</v>
      </c>
      <c r="B877" s="6" t="s">
        <v>3118</v>
      </c>
      <c r="C877" s="6" t="s">
        <v>105</v>
      </c>
      <c r="D877" s="6" t="s">
        <v>3119</v>
      </c>
      <c r="F877" s="7" t="s">
        <v>3120</v>
      </c>
      <c r="G877" s="8">
        <v>354</v>
      </c>
      <c r="H877" s="21" t="s">
        <v>1898</v>
      </c>
      <c r="I877" s="9">
        <f t="shared" si="58"/>
        <v>65</v>
      </c>
      <c r="J877" s="9">
        <f t="shared" si="57"/>
        <v>2</v>
      </c>
      <c r="K877" s="10" t="str">
        <f t="shared" si="56"/>
        <v>S2R65B2</v>
      </c>
      <c r="L877" s="10" t="s">
        <v>1899</v>
      </c>
      <c r="M877" s="10">
        <f>IF(Table1[[#This Row],[ID ROW]]&lt;=12,Table1[[#This Row],[ID ROW]],Table1[[#This Row],[ID ROW]]+INT((Table1[[#This Row],[ID ROW]]-1)/12)*2)</f>
        <v>75</v>
      </c>
      <c r="N877" s="10" t="str">
        <f t="shared" si="59"/>
        <v>LSR75B2</v>
      </c>
      <c r="O877" s="10">
        <f>IF(Table1[[#This Row],[ID ROW]]&lt;=12,1,INT((Table1[[#This Row],[ID ROW]]-1)/12)+1)</f>
        <v>6</v>
      </c>
      <c r="P877" s="10">
        <f>Table1[[#This Row],[ID ROW]]-((Table1[[#This Row],[SECT]]-1)*12)</f>
        <v>5</v>
      </c>
    </row>
    <row r="878" spans="1:16" ht="15.75" customHeight="1" x14ac:dyDescent="0.3">
      <c r="A878" s="6" t="s">
        <v>3121</v>
      </c>
      <c r="B878" s="6" t="s">
        <v>3122</v>
      </c>
      <c r="C878" s="6" t="s">
        <v>3123</v>
      </c>
      <c r="D878" s="6" t="s">
        <v>3124</v>
      </c>
      <c r="F878" s="13" t="s">
        <v>3125</v>
      </c>
      <c r="G878" s="8">
        <v>355</v>
      </c>
      <c r="H878" s="21" t="s">
        <v>1898</v>
      </c>
      <c r="I878" s="9">
        <f t="shared" si="58"/>
        <v>65</v>
      </c>
      <c r="J878" s="9">
        <f t="shared" si="57"/>
        <v>3</v>
      </c>
      <c r="K878" s="10" t="str">
        <f t="shared" si="56"/>
        <v>S2R65B3</v>
      </c>
      <c r="L878" s="10" t="s">
        <v>1899</v>
      </c>
      <c r="M878" s="10">
        <f>IF(Table1[[#This Row],[ID ROW]]&lt;=12,Table1[[#This Row],[ID ROW]],Table1[[#This Row],[ID ROW]]+INT((Table1[[#This Row],[ID ROW]]-1)/12)*2)</f>
        <v>75</v>
      </c>
      <c r="N878" s="10" t="str">
        <f t="shared" si="59"/>
        <v>LSR75B3</v>
      </c>
      <c r="O878" s="10">
        <f>IF(Table1[[#This Row],[ID ROW]]&lt;=12,1,INT((Table1[[#This Row],[ID ROW]]-1)/12)+1)</f>
        <v>6</v>
      </c>
      <c r="P878" s="10">
        <f>Table1[[#This Row],[ID ROW]]-((Table1[[#This Row],[SECT]]-1)*12)</f>
        <v>5</v>
      </c>
    </row>
    <row r="879" spans="1:16" ht="15.75" customHeight="1" x14ac:dyDescent="0.25">
      <c r="A879" s="6" t="s">
        <v>3126</v>
      </c>
      <c r="B879" s="6" t="s">
        <v>3127</v>
      </c>
      <c r="C879" s="6" t="s">
        <v>3128</v>
      </c>
      <c r="D879" s="6" t="s">
        <v>3129</v>
      </c>
      <c r="F879" s="7" t="s">
        <v>1982</v>
      </c>
      <c r="G879" s="8">
        <v>356</v>
      </c>
      <c r="H879" s="21" t="s">
        <v>1898</v>
      </c>
      <c r="I879" s="9">
        <f t="shared" si="58"/>
        <v>65</v>
      </c>
      <c r="J879" s="9">
        <f t="shared" si="57"/>
        <v>4</v>
      </c>
      <c r="K879" s="10" t="str">
        <f t="shared" si="56"/>
        <v>S2R65B4</v>
      </c>
      <c r="L879" s="10" t="s">
        <v>1899</v>
      </c>
      <c r="M879" s="10">
        <f>IF(Table1[[#This Row],[ID ROW]]&lt;=12,Table1[[#This Row],[ID ROW]],Table1[[#This Row],[ID ROW]]+INT((Table1[[#This Row],[ID ROW]]-1)/12)*2)</f>
        <v>75</v>
      </c>
      <c r="N879" s="10" t="str">
        <f t="shared" si="59"/>
        <v>LSR75B4</v>
      </c>
      <c r="O879" s="10">
        <f>IF(Table1[[#This Row],[ID ROW]]&lt;=12,1,INT((Table1[[#This Row],[ID ROW]]-1)/12)+1)</f>
        <v>6</v>
      </c>
      <c r="P879" s="10">
        <f>Table1[[#This Row],[ID ROW]]-((Table1[[#This Row],[SECT]]-1)*12)</f>
        <v>5</v>
      </c>
    </row>
    <row r="880" spans="1:16" ht="15.75" customHeight="1" x14ac:dyDescent="0.3">
      <c r="A880" s="6" t="s">
        <v>3130</v>
      </c>
      <c r="B880" s="6" t="s">
        <v>1524</v>
      </c>
      <c r="C880" s="6" t="s">
        <v>3131</v>
      </c>
      <c r="D880" s="6" t="s">
        <v>1379</v>
      </c>
      <c r="F880" s="13" t="s">
        <v>3132</v>
      </c>
      <c r="G880" s="8">
        <v>357</v>
      </c>
      <c r="H880" s="21" t="s">
        <v>1898</v>
      </c>
      <c r="I880" s="9">
        <f t="shared" si="58"/>
        <v>65</v>
      </c>
      <c r="J880" s="9">
        <f t="shared" si="57"/>
        <v>5</v>
      </c>
      <c r="K880" s="10" t="str">
        <f t="shared" si="56"/>
        <v>S2R65B5</v>
      </c>
      <c r="L880" s="10" t="s">
        <v>1899</v>
      </c>
      <c r="M880" s="10">
        <f>IF(Table1[[#This Row],[ID ROW]]&lt;=12,Table1[[#This Row],[ID ROW]],Table1[[#This Row],[ID ROW]]+INT((Table1[[#This Row],[ID ROW]]-1)/12)*2)</f>
        <v>75</v>
      </c>
      <c r="N880" s="10" t="str">
        <f t="shared" si="59"/>
        <v>LSR75B5</v>
      </c>
      <c r="O880" s="10">
        <f>IF(Table1[[#This Row],[ID ROW]]&lt;=12,1,INT((Table1[[#This Row],[ID ROW]]-1)/12)+1)</f>
        <v>6</v>
      </c>
      <c r="P880" s="10">
        <f>Table1[[#This Row],[ID ROW]]-((Table1[[#This Row],[SECT]]-1)*12)</f>
        <v>5</v>
      </c>
    </row>
    <row r="881" spans="1:16" ht="15.75" customHeight="1" x14ac:dyDescent="0.25">
      <c r="A881" s="6" t="s">
        <v>3133</v>
      </c>
      <c r="B881" s="6" t="s">
        <v>3134</v>
      </c>
      <c r="C881" s="6" t="s">
        <v>3135</v>
      </c>
      <c r="D881" s="6" t="s">
        <v>3136</v>
      </c>
      <c r="F881" s="7" t="s">
        <v>3137</v>
      </c>
      <c r="G881" s="8">
        <v>358</v>
      </c>
      <c r="H881" s="21" t="s">
        <v>1898</v>
      </c>
      <c r="I881" s="9">
        <f t="shared" si="58"/>
        <v>65</v>
      </c>
      <c r="J881" s="9">
        <f t="shared" si="57"/>
        <v>6</v>
      </c>
      <c r="K881" s="10" t="str">
        <f t="shared" si="56"/>
        <v>S2R65B6</v>
      </c>
      <c r="L881" s="10" t="s">
        <v>1899</v>
      </c>
      <c r="M881" s="10">
        <f>IF(Table1[[#This Row],[ID ROW]]&lt;=12,Table1[[#This Row],[ID ROW]],Table1[[#This Row],[ID ROW]]+INT((Table1[[#This Row],[ID ROW]]-1)/12)*2)</f>
        <v>75</v>
      </c>
      <c r="N881" s="10" t="str">
        <f t="shared" si="59"/>
        <v>LSR75B6</v>
      </c>
      <c r="O881" s="10">
        <f>IF(Table1[[#This Row],[ID ROW]]&lt;=12,1,INT((Table1[[#This Row],[ID ROW]]-1)/12)+1)</f>
        <v>6</v>
      </c>
      <c r="P881" s="10">
        <f>Table1[[#This Row],[ID ROW]]-((Table1[[#This Row],[SECT]]-1)*12)</f>
        <v>5</v>
      </c>
    </row>
    <row r="882" spans="1:16" ht="15.75" customHeight="1" x14ac:dyDescent="0.3">
      <c r="A882" s="6" t="s">
        <v>3138</v>
      </c>
      <c r="B882" s="6" t="s">
        <v>3139</v>
      </c>
      <c r="C882" s="6" t="s">
        <v>3140</v>
      </c>
      <c r="D882" s="6" t="s">
        <v>214</v>
      </c>
      <c r="F882" s="13" t="s">
        <v>3141</v>
      </c>
      <c r="G882" s="8">
        <v>359</v>
      </c>
      <c r="H882" s="21" t="s">
        <v>1898</v>
      </c>
      <c r="I882" s="9">
        <f t="shared" si="58"/>
        <v>66</v>
      </c>
      <c r="J882" s="9">
        <f t="shared" si="57"/>
        <v>1</v>
      </c>
      <c r="K882" s="10" t="str">
        <f t="shared" si="56"/>
        <v>S2R66B1</v>
      </c>
      <c r="L882" s="10" t="s">
        <v>1899</v>
      </c>
      <c r="M882" s="10">
        <f>IF(Table1[[#This Row],[ID ROW]]&lt;=12,Table1[[#This Row],[ID ROW]],Table1[[#This Row],[ID ROW]]+INT((Table1[[#This Row],[ID ROW]]-1)/12)*2)</f>
        <v>76</v>
      </c>
      <c r="N882" s="10" t="str">
        <f t="shared" si="59"/>
        <v>LSR76B1</v>
      </c>
      <c r="O882" s="10">
        <f>IF(Table1[[#This Row],[ID ROW]]&lt;=12,1,INT((Table1[[#This Row],[ID ROW]]-1)/12)+1)</f>
        <v>6</v>
      </c>
      <c r="P882" s="10">
        <f>Table1[[#This Row],[ID ROW]]-((Table1[[#This Row],[SECT]]-1)*12)</f>
        <v>6</v>
      </c>
    </row>
    <row r="883" spans="1:16" ht="15.75" customHeight="1" x14ac:dyDescent="0.25">
      <c r="A883" s="6" t="s">
        <v>3142</v>
      </c>
      <c r="B883" s="6" t="s">
        <v>3143</v>
      </c>
      <c r="C883" s="6" t="s">
        <v>143</v>
      </c>
      <c r="D883" s="6" t="s">
        <v>3144</v>
      </c>
      <c r="F883" s="7" t="s">
        <v>3145</v>
      </c>
      <c r="G883" s="8">
        <v>360</v>
      </c>
      <c r="H883" s="21" t="s">
        <v>1898</v>
      </c>
      <c r="I883" s="9">
        <f t="shared" si="58"/>
        <v>66</v>
      </c>
      <c r="J883" s="9">
        <f t="shared" si="57"/>
        <v>2</v>
      </c>
      <c r="K883" s="10" t="str">
        <f t="shared" si="56"/>
        <v>S2R66B2</v>
      </c>
      <c r="L883" s="10" t="s">
        <v>1899</v>
      </c>
      <c r="M883" s="10">
        <f>IF(Table1[[#This Row],[ID ROW]]&lt;=12,Table1[[#This Row],[ID ROW]],Table1[[#This Row],[ID ROW]]+INT((Table1[[#This Row],[ID ROW]]-1)/12)*2)</f>
        <v>76</v>
      </c>
      <c r="N883" s="10" t="str">
        <f t="shared" si="59"/>
        <v>LSR76B2</v>
      </c>
      <c r="O883" s="10">
        <f>IF(Table1[[#This Row],[ID ROW]]&lt;=12,1,INT((Table1[[#This Row],[ID ROW]]-1)/12)+1)</f>
        <v>6</v>
      </c>
      <c r="P883" s="10">
        <f>Table1[[#This Row],[ID ROW]]-((Table1[[#This Row],[SECT]]-1)*12)</f>
        <v>6</v>
      </c>
    </row>
    <row r="884" spans="1:16" ht="15.75" customHeight="1" x14ac:dyDescent="0.3">
      <c r="A884" s="6" t="s">
        <v>3146</v>
      </c>
      <c r="B884" s="6" t="s">
        <v>3147</v>
      </c>
      <c r="C884" s="6" t="s">
        <v>3148</v>
      </c>
      <c r="D884" s="6" t="s">
        <v>50</v>
      </c>
      <c r="F884" s="13" t="s">
        <v>3145</v>
      </c>
      <c r="G884" s="8">
        <v>361</v>
      </c>
      <c r="H884" s="21" t="s">
        <v>1898</v>
      </c>
      <c r="I884" s="9">
        <f t="shared" si="58"/>
        <v>66</v>
      </c>
      <c r="J884" s="9">
        <f t="shared" si="57"/>
        <v>3</v>
      </c>
      <c r="K884" s="10" t="str">
        <f t="shared" si="56"/>
        <v>S2R66B3</v>
      </c>
      <c r="L884" s="10" t="s">
        <v>1899</v>
      </c>
      <c r="M884" s="10">
        <f>IF(Table1[[#This Row],[ID ROW]]&lt;=12,Table1[[#This Row],[ID ROW]],Table1[[#This Row],[ID ROW]]+INT((Table1[[#This Row],[ID ROW]]-1)/12)*2)</f>
        <v>76</v>
      </c>
      <c r="N884" s="10" t="str">
        <f t="shared" si="59"/>
        <v>LSR76B3</v>
      </c>
      <c r="O884" s="10">
        <f>IF(Table1[[#This Row],[ID ROW]]&lt;=12,1,INT((Table1[[#This Row],[ID ROW]]-1)/12)+1)</f>
        <v>6</v>
      </c>
      <c r="P884" s="10">
        <f>Table1[[#This Row],[ID ROW]]-((Table1[[#This Row],[SECT]]-1)*12)</f>
        <v>6</v>
      </c>
    </row>
    <row r="885" spans="1:16" ht="15.75" customHeight="1" x14ac:dyDescent="0.25">
      <c r="A885" s="6" t="s">
        <v>3149</v>
      </c>
      <c r="B885" s="6" t="s">
        <v>3150</v>
      </c>
      <c r="C885" s="6" t="s">
        <v>3151</v>
      </c>
      <c r="D885" s="6" t="s">
        <v>3152</v>
      </c>
      <c r="F885" s="7" t="s">
        <v>3153</v>
      </c>
      <c r="G885" s="8">
        <v>362</v>
      </c>
      <c r="H885" s="21" t="s">
        <v>1898</v>
      </c>
      <c r="I885" s="9">
        <f t="shared" si="58"/>
        <v>66</v>
      </c>
      <c r="J885" s="9">
        <f t="shared" si="57"/>
        <v>4</v>
      </c>
      <c r="K885" s="10" t="str">
        <f t="shared" si="56"/>
        <v>S2R66B4</v>
      </c>
      <c r="L885" s="10" t="s">
        <v>1899</v>
      </c>
      <c r="M885" s="10">
        <f>IF(Table1[[#This Row],[ID ROW]]&lt;=12,Table1[[#This Row],[ID ROW]],Table1[[#This Row],[ID ROW]]+INT((Table1[[#This Row],[ID ROW]]-1)/12)*2)</f>
        <v>76</v>
      </c>
      <c r="N885" s="10" t="str">
        <f t="shared" si="59"/>
        <v>LSR76B4</v>
      </c>
      <c r="O885" s="10">
        <f>IF(Table1[[#This Row],[ID ROW]]&lt;=12,1,INT((Table1[[#This Row],[ID ROW]]-1)/12)+1)</f>
        <v>6</v>
      </c>
      <c r="P885" s="10">
        <f>Table1[[#This Row],[ID ROW]]-((Table1[[#This Row],[SECT]]-1)*12)</f>
        <v>6</v>
      </c>
    </row>
    <row r="886" spans="1:16" ht="15.75" customHeight="1" x14ac:dyDescent="0.3">
      <c r="A886" s="6" t="s">
        <v>3154</v>
      </c>
      <c r="B886" s="6" t="s">
        <v>3155</v>
      </c>
      <c r="C886" s="6" t="s">
        <v>3156</v>
      </c>
      <c r="D886" s="6" t="s">
        <v>3157</v>
      </c>
      <c r="F886" s="13" t="s">
        <v>3153</v>
      </c>
      <c r="G886" s="8">
        <v>363</v>
      </c>
      <c r="H886" s="21" t="s">
        <v>1898</v>
      </c>
      <c r="I886" s="9">
        <f t="shared" si="58"/>
        <v>66</v>
      </c>
      <c r="J886" s="9">
        <f t="shared" si="57"/>
        <v>5</v>
      </c>
      <c r="K886" s="10" t="str">
        <f t="shared" si="56"/>
        <v>S2R66B5</v>
      </c>
      <c r="L886" s="10" t="s">
        <v>1899</v>
      </c>
      <c r="M886" s="10">
        <f>IF(Table1[[#This Row],[ID ROW]]&lt;=12,Table1[[#This Row],[ID ROW]],Table1[[#This Row],[ID ROW]]+INT((Table1[[#This Row],[ID ROW]]-1)/12)*2)</f>
        <v>76</v>
      </c>
      <c r="N886" s="10" t="str">
        <f t="shared" si="59"/>
        <v>LSR76B5</v>
      </c>
      <c r="O886" s="10">
        <f>IF(Table1[[#This Row],[ID ROW]]&lt;=12,1,INT((Table1[[#This Row],[ID ROW]]-1)/12)+1)</f>
        <v>6</v>
      </c>
      <c r="P886" s="10">
        <f>Table1[[#This Row],[ID ROW]]-((Table1[[#This Row],[SECT]]-1)*12)</f>
        <v>6</v>
      </c>
    </row>
    <row r="887" spans="1:16" ht="15.75" customHeight="1" x14ac:dyDescent="0.25">
      <c r="A887" s="6" t="s">
        <v>143</v>
      </c>
      <c r="B887" s="6" t="s">
        <v>3158</v>
      </c>
      <c r="C887" s="6" t="s">
        <v>1177</v>
      </c>
      <c r="D887" s="6" t="s">
        <v>3159</v>
      </c>
      <c r="F887" s="7" t="s">
        <v>3160</v>
      </c>
      <c r="G887" s="8">
        <v>364</v>
      </c>
      <c r="H887" s="21" t="s">
        <v>1898</v>
      </c>
      <c r="I887" s="9">
        <f t="shared" si="58"/>
        <v>67</v>
      </c>
      <c r="J887" s="9">
        <f t="shared" si="57"/>
        <v>1</v>
      </c>
      <c r="K887" s="10" t="str">
        <f t="shared" si="56"/>
        <v>S2R67B1</v>
      </c>
      <c r="L887" s="10" t="s">
        <v>1899</v>
      </c>
      <c r="M887" s="10">
        <f>IF(Table1[[#This Row],[ID ROW]]&lt;=12,Table1[[#This Row],[ID ROW]],Table1[[#This Row],[ID ROW]]+INT((Table1[[#This Row],[ID ROW]]-1)/12)*2)</f>
        <v>77</v>
      </c>
      <c r="N887" s="10" t="str">
        <f t="shared" si="59"/>
        <v>LSR77B1</v>
      </c>
      <c r="O887" s="10">
        <f>IF(Table1[[#This Row],[ID ROW]]&lt;=12,1,INT((Table1[[#This Row],[ID ROW]]-1)/12)+1)</f>
        <v>6</v>
      </c>
      <c r="P887" s="10">
        <f>Table1[[#This Row],[ID ROW]]-((Table1[[#This Row],[SECT]]-1)*12)</f>
        <v>7</v>
      </c>
    </row>
    <row r="888" spans="1:16" ht="15.75" customHeight="1" x14ac:dyDescent="0.3">
      <c r="A888" s="6" t="s">
        <v>3161</v>
      </c>
      <c r="B888" s="6" t="s">
        <v>3162</v>
      </c>
      <c r="C888" s="6" t="s">
        <v>194</v>
      </c>
      <c r="D888" s="6" t="s">
        <v>195</v>
      </c>
      <c r="F888" s="13" t="s">
        <v>3163</v>
      </c>
      <c r="G888" s="8">
        <v>365</v>
      </c>
      <c r="H888" s="21" t="s">
        <v>1898</v>
      </c>
      <c r="I888" s="9">
        <f t="shared" si="58"/>
        <v>67</v>
      </c>
      <c r="J888" s="9">
        <f t="shared" si="57"/>
        <v>2</v>
      </c>
      <c r="K888" s="10" t="str">
        <f t="shared" si="56"/>
        <v>S2R67B2</v>
      </c>
      <c r="L888" s="10" t="s">
        <v>1899</v>
      </c>
      <c r="M888" s="10">
        <f>IF(Table1[[#This Row],[ID ROW]]&lt;=12,Table1[[#This Row],[ID ROW]],Table1[[#This Row],[ID ROW]]+INT((Table1[[#This Row],[ID ROW]]-1)/12)*2)</f>
        <v>77</v>
      </c>
      <c r="N888" s="10" t="str">
        <f t="shared" si="59"/>
        <v>LSR77B2</v>
      </c>
      <c r="O888" s="10">
        <f>IF(Table1[[#This Row],[ID ROW]]&lt;=12,1,INT((Table1[[#This Row],[ID ROW]]-1)/12)+1)</f>
        <v>6</v>
      </c>
      <c r="P888" s="10">
        <f>Table1[[#This Row],[ID ROW]]-((Table1[[#This Row],[SECT]]-1)*12)</f>
        <v>7</v>
      </c>
    </row>
    <row r="889" spans="1:16" ht="15.75" customHeight="1" x14ac:dyDescent="0.25">
      <c r="A889" s="6" t="s">
        <v>3164</v>
      </c>
      <c r="B889" s="6" t="s">
        <v>3165</v>
      </c>
      <c r="C889" s="6" t="s">
        <v>194</v>
      </c>
      <c r="D889" s="6" t="s">
        <v>195</v>
      </c>
      <c r="F889" s="7" t="s">
        <v>3166</v>
      </c>
      <c r="G889" s="8">
        <v>366</v>
      </c>
      <c r="H889" s="21" t="s">
        <v>1898</v>
      </c>
      <c r="I889" s="9">
        <f t="shared" si="58"/>
        <v>67</v>
      </c>
      <c r="J889" s="9">
        <f t="shared" si="57"/>
        <v>3</v>
      </c>
      <c r="K889" s="10" t="str">
        <f t="shared" si="56"/>
        <v>S2R67B3</v>
      </c>
      <c r="L889" s="10" t="s">
        <v>1899</v>
      </c>
      <c r="M889" s="10">
        <f>IF(Table1[[#This Row],[ID ROW]]&lt;=12,Table1[[#This Row],[ID ROW]],Table1[[#This Row],[ID ROW]]+INT((Table1[[#This Row],[ID ROW]]-1)/12)*2)</f>
        <v>77</v>
      </c>
      <c r="N889" s="10" t="str">
        <f t="shared" si="59"/>
        <v>LSR77B3</v>
      </c>
      <c r="O889" s="10">
        <f>IF(Table1[[#This Row],[ID ROW]]&lt;=12,1,INT((Table1[[#This Row],[ID ROW]]-1)/12)+1)</f>
        <v>6</v>
      </c>
      <c r="P889" s="10">
        <f>Table1[[#This Row],[ID ROW]]-((Table1[[#This Row],[SECT]]-1)*12)</f>
        <v>7</v>
      </c>
    </row>
    <row r="890" spans="1:16" ht="15.75" customHeight="1" x14ac:dyDescent="0.3">
      <c r="A890" s="6" t="s">
        <v>3167</v>
      </c>
      <c r="B890" s="6" t="s">
        <v>3168</v>
      </c>
      <c r="C890" s="6" t="s">
        <v>3169</v>
      </c>
      <c r="D890" s="6" t="s">
        <v>1987</v>
      </c>
      <c r="F890" s="13" t="s">
        <v>3170</v>
      </c>
      <c r="G890" s="8">
        <v>367</v>
      </c>
      <c r="H890" s="21" t="s">
        <v>1898</v>
      </c>
      <c r="I890" s="9">
        <f t="shared" si="58"/>
        <v>67</v>
      </c>
      <c r="J890" s="9">
        <f t="shared" si="57"/>
        <v>4</v>
      </c>
      <c r="K890" s="10" t="str">
        <f t="shared" si="56"/>
        <v>S2R67B4</v>
      </c>
      <c r="L890" s="10" t="s">
        <v>1899</v>
      </c>
      <c r="M890" s="10">
        <f>IF(Table1[[#This Row],[ID ROW]]&lt;=12,Table1[[#This Row],[ID ROW]],Table1[[#This Row],[ID ROW]]+INT((Table1[[#This Row],[ID ROW]]-1)/12)*2)</f>
        <v>77</v>
      </c>
      <c r="N890" s="10" t="str">
        <f t="shared" si="59"/>
        <v>LSR77B4</v>
      </c>
      <c r="O890" s="10">
        <f>IF(Table1[[#This Row],[ID ROW]]&lt;=12,1,INT((Table1[[#This Row],[ID ROW]]-1)/12)+1)</f>
        <v>6</v>
      </c>
      <c r="P890" s="10">
        <f>Table1[[#This Row],[ID ROW]]-((Table1[[#This Row],[SECT]]-1)*12)</f>
        <v>7</v>
      </c>
    </row>
    <row r="891" spans="1:16" ht="15.75" customHeight="1" x14ac:dyDescent="0.25">
      <c r="A891" s="6" t="s">
        <v>3171</v>
      </c>
      <c r="B891" s="6" t="s">
        <v>3172</v>
      </c>
      <c r="C891" s="6" t="s">
        <v>3173</v>
      </c>
      <c r="D891" s="6" t="s">
        <v>731</v>
      </c>
      <c r="F891" s="7" t="s">
        <v>3174</v>
      </c>
      <c r="G891" s="8">
        <v>368</v>
      </c>
      <c r="H891" s="21" t="s">
        <v>1898</v>
      </c>
      <c r="I891" s="9">
        <f t="shared" si="58"/>
        <v>67</v>
      </c>
      <c r="J891" s="9">
        <f t="shared" si="57"/>
        <v>5</v>
      </c>
      <c r="K891" s="10" t="str">
        <f t="shared" si="56"/>
        <v>S2R67B5</v>
      </c>
      <c r="L891" s="10" t="s">
        <v>1899</v>
      </c>
      <c r="M891" s="10">
        <f>IF(Table1[[#This Row],[ID ROW]]&lt;=12,Table1[[#This Row],[ID ROW]],Table1[[#This Row],[ID ROW]]+INT((Table1[[#This Row],[ID ROW]]-1)/12)*2)</f>
        <v>77</v>
      </c>
      <c r="N891" s="10" t="str">
        <f t="shared" si="59"/>
        <v>LSR77B5</v>
      </c>
      <c r="O891" s="10">
        <f>IF(Table1[[#This Row],[ID ROW]]&lt;=12,1,INT((Table1[[#This Row],[ID ROW]]-1)/12)+1)</f>
        <v>6</v>
      </c>
      <c r="P891" s="10">
        <f>Table1[[#This Row],[ID ROW]]-((Table1[[#This Row],[SECT]]-1)*12)</f>
        <v>7</v>
      </c>
    </row>
    <row r="892" spans="1:16" ht="15.75" customHeight="1" x14ac:dyDescent="0.3">
      <c r="A892" s="6" t="s">
        <v>3175</v>
      </c>
      <c r="B892" s="6" t="s">
        <v>3176</v>
      </c>
      <c r="C892" s="6" t="s">
        <v>3177</v>
      </c>
      <c r="F892" s="13" t="s">
        <v>3178</v>
      </c>
      <c r="G892" s="8">
        <v>369</v>
      </c>
      <c r="H892" s="21" t="s">
        <v>1898</v>
      </c>
      <c r="I892" s="9">
        <f t="shared" si="58"/>
        <v>67</v>
      </c>
      <c r="J892" s="9">
        <f t="shared" si="57"/>
        <v>6</v>
      </c>
      <c r="K892" s="10" t="str">
        <f t="shared" si="56"/>
        <v>S2R67B6</v>
      </c>
      <c r="L892" s="10" t="s">
        <v>1899</v>
      </c>
      <c r="M892" s="10">
        <f>IF(Table1[[#This Row],[ID ROW]]&lt;=12,Table1[[#This Row],[ID ROW]],Table1[[#This Row],[ID ROW]]+INT((Table1[[#This Row],[ID ROW]]-1)/12)*2)</f>
        <v>77</v>
      </c>
      <c r="N892" s="10" t="str">
        <f t="shared" si="59"/>
        <v>LSR77B6</v>
      </c>
      <c r="O892" s="10">
        <f>IF(Table1[[#This Row],[ID ROW]]&lt;=12,1,INT((Table1[[#This Row],[ID ROW]]-1)/12)+1)</f>
        <v>6</v>
      </c>
      <c r="P892" s="10">
        <f>Table1[[#This Row],[ID ROW]]-((Table1[[#This Row],[SECT]]-1)*12)</f>
        <v>7</v>
      </c>
    </row>
    <row r="893" spans="1:16" ht="15.75" customHeight="1" x14ac:dyDescent="0.25">
      <c r="A893" s="6" t="s">
        <v>3179</v>
      </c>
      <c r="B893" s="6" t="s">
        <v>3180</v>
      </c>
      <c r="C893" s="6" t="s">
        <v>3181</v>
      </c>
      <c r="D893" s="6" t="s">
        <v>3182</v>
      </c>
      <c r="F893" s="7" t="s">
        <v>3183</v>
      </c>
      <c r="G893" s="8">
        <v>370</v>
      </c>
      <c r="H893" s="21" t="s">
        <v>1898</v>
      </c>
      <c r="I893" s="9">
        <f t="shared" si="58"/>
        <v>68</v>
      </c>
      <c r="J893" s="9">
        <f t="shared" si="57"/>
        <v>1</v>
      </c>
      <c r="K893" s="10" t="str">
        <f t="shared" si="56"/>
        <v>S2R68B1</v>
      </c>
      <c r="L893" s="10" t="s">
        <v>1899</v>
      </c>
      <c r="M893" s="10">
        <f>IF(Table1[[#This Row],[ID ROW]]&lt;=12,Table1[[#This Row],[ID ROW]],Table1[[#This Row],[ID ROW]]+INT((Table1[[#This Row],[ID ROW]]-1)/12)*2)</f>
        <v>78</v>
      </c>
      <c r="N893" s="10" t="str">
        <f t="shared" si="59"/>
        <v>LSR78B1</v>
      </c>
      <c r="O893" s="10">
        <f>IF(Table1[[#This Row],[ID ROW]]&lt;=12,1,INT((Table1[[#This Row],[ID ROW]]-1)/12)+1)</f>
        <v>6</v>
      </c>
      <c r="P893" s="10">
        <f>Table1[[#This Row],[ID ROW]]-((Table1[[#This Row],[SECT]]-1)*12)</f>
        <v>8</v>
      </c>
    </row>
    <row r="894" spans="1:16" ht="15.75" customHeight="1" x14ac:dyDescent="0.3">
      <c r="A894" s="6" t="s">
        <v>3184</v>
      </c>
      <c r="B894" s="6" t="s">
        <v>136</v>
      </c>
      <c r="C894" s="6" t="s">
        <v>3185</v>
      </c>
      <c r="D894" s="6" t="s">
        <v>3186</v>
      </c>
      <c r="F894" s="13" t="s">
        <v>3183</v>
      </c>
      <c r="G894" s="8">
        <v>371</v>
      </c>
      <c r="H894" s="21" t="s">
        <v>1898</v>
      </c>
      <c r="I894" s="9">
        <f t="shared" si="58"/>
        <v>68</v>
      </c>
      <c r="J894" s="9">
        <f t="shared" si="57"/>
        <v>2</v>
      </c>
      <c r="K894" s="10" t="str">
        <f t="shared" si="56"/>
        <v>S2R68B2</v>
      </c>
      <c r="L894" s="10" t="s">
        <v>1899</v>
      </c>
      <c r="M894" s="10">
        <f>IF(Table1[[#This Row],[ID ROW]]&lt;=12,Table1[[#This Row],[ID ROW]],Table1[[#This Row],[ID ROW]]+INT((Table1[[#This Row],[ID ROW]]-1)/12)*2)</f>
        <v>78</v>
      </c>
      <c r="N894" s="10" t="str">
        <f t="shared" si="59"/>
        <v>LSR78B2</v>
      </c>
      <c r="O894" s="10">
        <f>IF(Table1[[#This Row],[ID ROW]]&lt;=12,1,INT((Table1[[#This Row],[ID ROW]]-1)/12)+1)</f>
        <v>6</v>
      </c>
      <c r="P894" s="10">
        <f>Table1[[#This Row],[ID ROW]]-((Table1[[#This Row],[SECT]]-1)*12)</f>
        <v>8</v>
      </c>
    </row>
    <row r="895" spans="1:16" ht="15.75" customHeight="1" x14ac:dyDescent="0.25">
      <c r="A895" s="6" t="s">
        <v>3187</v>
      </c>
      <c r="B895" s="6" t="s">
        <v>1619</v>
      </c>
      <c r="C895" s="6" t="s">
        <v>67</v>
      </c>
      <c r="D895" s="6" t="s">
        <v>3188</v>
      </c>
      <c r="F895" s="7" t="s">
        <v>3189</v>
      </c>
      <c r="G895" s="8">
        <v>372</v>
      </c>
      <c r="H895" s="21" t="s">
        <v>1898</v>
      </c>
      <c r="I895" s="9">
        <f t="shared" si="58"/>
        <v>68</v>
      </c>
      <c r="J895" s="9">
        <f t="shared" si="57"/>
        <v>3</v>
      </c>
      <c r="K895" s="10" t="str">
        <f t="shared" si="56"/>
        <v>S2R68B3</v>
      </c>
      <c r="L895" s="10" t="s">
        <v>1899</v>
      </c>
      <c r="M895" s="10">
        <f>IF(Table1[[#This Row],[ID ROW]]&lt;=12,Table1[[#This Row],[ID ROW]],Table1[[#This Row],[ID ROW]]+INT((Table1[[#This Row],[ID ROW]]-1)/12)*2)</f>
        <v>78</v>
      </c>
      <c r="N895" s="10" t="str">
        <f t="shared" si="59"/>
        <v>LSR78B3</v>
      </c>
      <c r="O895" s="10">
        <f>IF(Table1[[#This Row],[ID ROW]]&lt;=12,1,INT((Table1[[#This Row],[ID ROW]]-1)/12)+1)</f>
        <v>6</v>
      </c>
      <c r="P895" s="10">
        <f>Table1[[#This Row],[ID ROW]]-((Table1[[#This Row],[SECT]]-1)*12)</f>
        <v>8</v>
      </c>
    </row>
    <row r="896" spans="1:16" ht="15.75" customHeight="1" x14ac:dyDescent="0.3">
      <c r="A896" s="6" t="s">
        <v>3190</v>
      </c>
      <c r="B896" s="6" t="s">
        <v>3191</v>
      </c>
      <c r="C896" s="6" t="s">
        <v>1325</v>
      </c>
      <c r="D896" s="6" t="s">
        <v>3192</v>
      </c>
      <c r="F896" s="13" t="s">
        <v>3189</v>
      </c>
      <c r="G896" s="8">
        <v>373</v>
      </c>
      <c r="H896" s="21" t="s">
        <v>1898</v>
      </c>
      <c r="I896" s="9">
        <f t="shared" si="58"/>
        <v>68</v>
      </c>
      <c r="J896" s="9">
        <f t="shared" si="57"/>
        <v>4</v>
      </c>
      <c r="K896" s="10" t="str">
        <f t="shared" si="56"/>
        <v>S2R68B4</v>
      </c>
      <c r="L896" s="10" t="s">
        <v>1899</v>
      </c>
      <c r="M896" s="10">
        <f>IF(Table1[[#This Row],[ID ROW]]&lt;=12,Table1[[#This Row],[ID ROW]],Table1[[#This Row],[ID ROW]]+INT((Table1[[#This Row],[ID ROW]]-1)/12)*2)</f>
        <v>78</v>
      </c>
      <c r="N896" s="10" t="str">
        <f t="shared" si="59"/>
        <v>LSR78B4</v>
      </c>
      <c r="O896" s="10">
        <f>IF(Table1[[#This Row],[ID ROW]]&lt;=12,1,INT((Table1[[#This Row],[ID ROW]]-1)/12)+1)</f>
        <v>6</v>
      </c>
      <c r="P896" s="10">
        <f>Table1[[#This Row],[ID ROW]]-((Table1[[#This Row],[SECT]]-1)*12)</f>
        <v>8</v>
      </c>
    </row>
    <row r="897" spans="1:16" ht="15.75" customHeight="1" x14ac:dyDescent="0.25">
      <c r="A897" s="6" t="s">
        <v>3193</v>
      </c>
      <c r="B897" s="6" t="s">
        <v>3194</v>
      </c>
      <c r="C897" s="6" t="s">
        <v>3195</v>
      </c>
      <c r="D897" s="6" t="s">
        <v>3196</v>
      </c>
      <c r="F897" s="7" t="s">
        <v>3197</v>
      </c>
      <c r="G897" s="8">
        <v>374</v>
      </c>
      <c r="H897" s="21" t="s">
        <v>1898</v>
      </c>
      <c r="I897" s="9">
        <f t="shared" si="58"/>
        <v>68</v>
      </c>
      <c r="J897" s="9">
        <f t="shared" si="57"/>
        <v>5</v>
      </c>
      <c r="K897" s="10" t="str">
        <f t="shared" ref="K897:K962" si="60">H897&amp;"R"&amp;I897&amp;"B"&amp;J897</f>
        <v>S2R68B5</v>
      </c>
      <c r="L897" s="10" t="s">
        <v>1899</v>
      </c>
      <c r="M897" s="10">
        <f>IF(Table1[[#This Row],[ID ROW]]&lt;=12,Table1[[#This Row],[ID ROW]],Table1[[#This Row],[ID ROW]]+INT((Table1[[#This Row],[ID ROW]]-1)/12)*2)</f>
        <v>78</v>
      </c>
      <c r="N897" s="10" t="str">
        <f t="shared" si="59"/>
        <v>LSR78B5</v>
      </c>
      <c r="O897" s="10">
        <f>IF(Table1[[#This Row],[ID ROW]]&lt;=12,1,INT((Table1[[#This Row],[ID ROW]]-1)/12)+1)</f>
        <v>6</v>
      </c>
      <c r="P897" s="10">
        <f>Table1[[#This Row],[ID ROW]]-((Table1[[#This Row],[SECT]]-1)*12)</f>
        <v>8</v>
      </c>
    </row>
    <row r="898" spans="1:16" ht="15.75" customHeight="1" x14ac:dyDescent="0.3">
      <c r="A898" s="6" t="s">
        <v>3198</v>
      </c>
      <c r="B898" s="6" t="s">
        <v>1177</v>
      </c>
      <c r="C898" s="6" t="s">
        <v>3199</v>
      </c>
      <c r="D898" s="6" t="s">
        <v>3200</v>
      </c>
      <c r="F898" s="13" t="s">
        <v>3201</v>
      </c>
      <c r="G898" s="8">
        <v>375</v>
      </c>
      <c r="H898" s="21" t="s">
        <v>1898</v>
      </c>
      <c r="I898" s="9">
        <f t="shared" si="58"/>
        <v>69</v>
      </c>
      <c r="J898" s="9">
        <f t="shared" si="57"/>
        <v>1</v>
      </c>
      <c r="K898" s="10" t="str">
        <f t="shared" si="60"/>
        <v>S2R69B1</v>
      </c>
      <c r="L898" s="10" t="s">
        <v>1899</v>
      </c>
      <c r="M898" s="10">
        <f>IF(Table1[[#This Row],[ID ROW]]&lt;=12,Table1[[#This Row],[ID ROW]],Table1[[#This Row],[ID ROW]]+INT((Table1[[#This Row],[ID ROW]]-1)/12)*2)</f>
        <v>79</v>
      </c>
      <c r="N898" s="10" t="str">
        <f t="shared" si="59"/>
        <v>LSR79B1</v>
      </c>
      <c r="O898" s="10">
        <f>IF(Table1[[#This Row],[ID ROW]]&lt;=12,1,INT((Table1[[#This Row],[ID ROW]]-1)/12)+1)</f>
        <v>6</v>
      </c>
      <c r="P898" s="10">
        <f>Table1[[#This Row],[ID ROW]]-((Table1[[#This Row],[SECT]]-1)*12)</f>
        <v>9</v>
      </c>
    </row>
    <row r="899" spans="1:16" ht="15.75" customHeight="1" x14ac:dyDescent="0.25">
      <c r="A899" s="6" t="s">
        <v>3202</v>
      </c>
      <c r="B899" s="6" t="s">
        <v>3203</v>
      </c>
      <c r="C899" s="6" t="s">
        <v>3204</v>
      </c>
      <c r="D899" s="6" t="s">
        <v>3205</v>
      </c>
      <c r="F899" s="7" t="s">
        <v>3206</v>
      </c>
      <c r="G899" s="8">
        <v>376</v>
      </c>
      <c r="H899" s="21" t="s">
        <v>1898</v>
      </c>
      <c r="I899" s="9">
        <f t="shared" si="58"/>
        <v>69</v>
      </c>
      <c r="J899" s="9">
        <f t="shared" si="57"/>
        <v>2</v>
      </c>
      <c r="K899" s="10" t="str">
        <f t="shared" si="60"/>
        <v>S2R69B2</v>
      </c>
      <c r="L899" s="10" t="s">
        <v>1899</v>
      </c>
      <c r="M899" s="10">
        <f>IF(Table1[[#This Row],[ID ROW]]&lt;=12,Table1[[#This Row],[ID ROW]],Table1[[#This Row],[ID ROW]]+INT((Table1[[#This Row],[ID ROW]]-1)/12)*2)</f>
        <v>79</v>
      </c>
      <c r="N899" s="10" t="str">
        <f t="shared" si="59"/>
        <v>LSR79B2</v>
      </c>
      <c r="O899" s="10">
        <f>IF(Table1[[#This Row],[ID ROW]]&lt;=12,1,INT((Table1[[#This Row],[ID ROW]]-1)/12)+1)</f>
        <v>6</v>
      </c>
      <c r="P899" s="10">
        <f>Table1[[#This Row],[ID ROW]]-((Table1[[#This Row],[SECT]]-1)*12)</f>
        <v>9</v>
      </c>
    </row>
    <row r="900" spans="1:16" ht="15.75" customHeight="1" x14ac:dyDescent="0.3">
      <c r="A900" s="6" t="s">
        <v>3207</v>
      </c>
      <c r="B900" s="6" t="s">
        <v>1287</v>
      </c>
      <c r="C900" s="6" t="s">
        <v>2259</v>
      </c>
      <c r="D900" s="6" t="s">
        <v>3208</v>
      </c>
      <c r="F900" s="13" t="s">
        <v>3209</v>
      </c>
      <c r="G900" s="8">
        <v>377</v>
      </c>
      <c r="H900" s="21" t="s">
        <v>1898</v>
      </c>
      <c r="I900" s="9">
        <f t="shared" si="58"/>
        <v>69</v>
      </c>
      <c r="J900" s="9">
        <f t="shared" si="57"/>
        <v>3</v>
      </c>
      <c r="K900" s="10" t="str">
        <f t="shared" si="60"/>
        <v>S2R69B3</v>
      </c>
      <c r="L900" s="10" t="s">
        <v>1899</v>
      </c>
      <c r="M900" s="10">
        <f>IF(Table1[[#This Row],[ID ROW]]&lt;=12,Table1[[#This Row],[ID ROW]],Table1[[#This Row],[ID ROW]]+INT((Table1[[#This Row],[ID ROW]]-1)/12)*2)</f>
        <v>79</v>
      </c>
      <c r="N900" s="10" t="str">
        <f t="shared" si="59"/>
        <v>LSR79B3</v>
      </c>
      <c r="O900" s="10">
        <f>IF(Table1[[#This Row],[ID ROW]]&lt;=12,1,INT((Table1[[#This Row],[ID ROW]]-1)/12)+1)</f>
        <v>6</v>
      </c>
      <c r="P900" s="10">
        <f>Table1[[#This Row],[ID ROW]]-((Table1[[#This Row],[SECT]]-1)*12)</f>
        <v>9</v>
      </c>
    </row>
    <row r="901" spans="1:16" ht="15.75" customHeight="1" x14ac:dyDescent="0.25">
      <c r="A901" s="6" t="s">
        <v>3210</v>
      </c>
      <c r="B901" s="6" t="s">
        <v>150</v>
      </c>
      <c r="C901" s="6" t="s">
        <v>3211</v>
      </c>
      <c r="F901" s="7" t="s">
        <v>3209</v>
      </c>
      <c r="G901" s="8">
        <v>378</v>
      </c>
      <c r="H901" s="21" t="s">
        <v>1898</v>
      </c>
      <c r="I901" s="9">
        <f t="shared" si="58"/>
        <v>69</v>
      </c>
      <c r="J901" s="9">
        <f t="shared" si="57"/>
        <v>4</v>
      </c>
      <c r="K901" s="10" t="str">
        <f t="shared" si="60"/>
        <v>S2R69B4</v>
      </c>
      <c r="L901" s="10" t="s">
        <v>1899</v>
      </c>
      <c r="M901" s="10">
        <f>IF(Table1[[#This Row],[ID ROW]]&lt;=12,Table1[[#This Row],[ID ROW]],Table1[[#This Row],[ID ROW]]+INT((Table1[[#This Row],[ID ROW]]-1)/12)*2)</f>
        <v>79</v>
      </c>
      <c r="N901" s="10" t="str">
        <f t="shared" si="59"/>
        <v>LSR79B4</v>
      </c>
      <c r="O901" s="10">
        <f>IF(Table1[[#This Row],[ID ROW]]&lt;=12,1,INT((Table1[[#This Row],[ID ROW]]-1)/12)+1)</f>
        <v>6</v>
      </c>
      <c r="P901" s="10">
        <f>Table1[[#This Row],[ID ROW]]-((Table1[[#This Row],[SECT]]-1)*12)</f>
        <v>9</v>
      </c>
    </row>
    <row r="902" spans="1:16" ht="15.75" customHeight="1" x14ac:dyDescent="0.3">
      <c r="A902" s="6" t="s">
        <v>3212</v>
      </c>
      <c r="B902" s="6" t="s">
        <v>1358</v>
      </c>
      <c r="C902" s="6" t="s">
        <v>3213</v>
      </c>
      <c r="D902" s="6" t="s">
        <v>67</v>
      </c>
      <c r="F902" s="13" t="s">
        <v>3214</v>
      </c>
      <c r="G902" s="8">
        <v>379</v>
      </c>
      <c r="H902" s="21" t="s">
        <v>1898</v>
      </c>
      <c r="I902" s="9">
        <f t="shared" si="58"/>
        <v>69</v>
      </c>
      <c r="J902" s="9">
        <f t="shared" si="57"/>
        <v>5</v>
      </c>
      <c r="K902" s="10" t="str">
        <f t="shared" si="60"/>
        <v>S2R69B5</v>
      </c>
      <c r="L902" s="10" t="s">
        <v>1899</v>
      </c>
      <c r="M902" s="10">
        <f>IF(Table1[[#This Row],[ID ROW]]&lt;=12,Table1[[#This Row],[ID ROW]],Table1[[#This Row],[ID ROW]]+INT((Table1[[#This Row],[ID ROW]]-1)/12)*2)</f>
        <v>79</v>
      </c>
      <c r="N902" s="10" t="str">
        <f t="shared" si="59"/>
        <v>LSR79B5</v>
      </c>
      <c r="O902" s="10">
        <f>IF(Table1[[#This Row],[ID ROW]]&lt;=12,1,INT((Table1[[#This Row],[ID ROW]]-1)/12)+1)</f>
        <v>6</v>
      </c>
      <c r="P902" s="10">
        <f>Table1[[#This Row],[ID ROW]]-((Table1[[#This Row],[SECT]]-1)*12)</f>
        <v>9</v>
      </c>
    </row>
    <row r="903" spans="1:16" ht="15.75" customHeight="1" x14ac:dyDescent="0.25">
      <c r="A903" s="6" t="s">
        <v>3215</v>
      </c>
      <c r="B903" s="6" t="s">
        <v>143</v>
      </c>
      <c r="C903" s="6" t="s">
        <v>3216</v>
      </c>
      <c r="D903" s="6" t="s">
        <v>3217</v>
      </c>
      <c r="F903" s="7" t="s">
        <v>3218</v>
      </c>
      <c r="G903" s="8">
        <v>380</v>
      </c>
      <c r="H903" s="21" t="s">
        <v>1898</v>
      </c>
      <c r="I903" s="9">
        <f t="shared" si="58"/>
        <v>69</v>
      </c>
      <c r="J903" s="9">
        <f t="shared" si="57"/>
        <v>6</v>
      </c>
      <c r="K903" s="10" t="str">
        <f t="shared" si="60"/>
        <v>S2R69B6</v>
      </c>
      <c r="L903" s="10" t="s">
        <v>1899</v>
      </c>
      <c r="M903" s="10">
        <f>IF(Table1[[#This Row],[ID ROW]]&lt;=12,Table1[[#This Row],[ID ROW]],Table1[[#This Row],[ID ROW]]+INT((Table1[[#This Row],[ID ROW]]-1)/12)*2)</f>
        <v>79</v>
      </c>
      <c r="N903" s="10" t="str">
        <f t="shared" si="59"/>
        <v>LSR79B6</v>
      </c>
      <c r="O903" s="10">
        <f>IF(Table1[[#This Row],[ID ROW]]&lt;=12,1,INT((Table1[[#This Row],[ID ROW]]-1)/12)+1)</f>
        <v>6</v>
      </c>
      <c r="P903" s="10">
        <f>Table1[[#This Row],[ID ROW]]-((Table1[[#This Row],[SECT]]-1)*12)</f>
        <v>9</v>
      </c>
    </row>
    <row r="904" spans="1:16" ht="15.75" customHeight="1" x14ac:dyDescent="0.3">
      <c r="A904" s="6" t="s">
        <v>3219</v>
      </c>
      <c r="B904" s="6" t="s">
        <v>3220</v>
      </c>
      <c r="C904" s="6" t="s">
        <v>2832</v>
      </c>
      <c r="D904" s="6" t="s">
        <v>3221</v>
      </c>
      <c r="F904" s="13" t="s">
        <v>3222</v>
      </c>
      <c r="G904" s="8">
        <v>381</v>
      </c>
      <c r="H904" s="21" t="s">
        <v>1898</v>
      </c>
      <c r="I904" s="9">
        <f t="shared" si="58"/>
        <v>70</v>
      </c>
      <c r="J904" s="9">
        <f t="shared" si="57"/>
        <v>1</v>
      </c>
      <c r="K904" s="10" t="str">
        <f t="shared" si="60"/>
        <v>S2R70B1</v>
      </c>
      <c r="L904" s="10" t="s">
        <v>1899</v>
      </c>
      <c r="M904" s="10">
        <f>IF(Table1[[#This Row],[ID ROW]]&lt;=12,Table1[[#This Row],[ID ROW]],Table1[[#This Row],[ID ROW]]+INT((Table1[[#This Row],[ID ROW]]-1)/12)*2)</f>
        <v>80</v>
      </c>
      <c r="N904" s="10" t="str">
        <f t="shared" si="59"/>
        <v>LSR80B1</v>
      </c>
      <c r="O904" s="10">
        <f>IF(Table1[[#This Row],[ID ROW]]&lt;=12,1,INT((Table1[[#This Row],[ID ROW]]-1)/12)+1)</f>
        <v>6</v>
      </c>
      <c r="P904" s="10">
        <f>Table1[[#This Row],[ID ROW]]-((Table1[[#This Row],[SECT]]-1)*12)</f>
        <v>10</v>
      </c>
    </row>
    <row r="905" spans="1:16" ht="15.75" customHeight="1" x14ac:dyDescent="0.25">
      <c r="A905" s="6" t="s">
        <v>3223</v>
      </c>
      <c r="B905" s="6" t="s">
        <v>189</v>
      </c>
      <c r="C905" s="6" t="s">
        <v>3224</v>
      </c>
      <c r="D905" s="6" t="s">
        <v>1216</v>
      </c>
      <c r="F905" s="7" t="s">
        <v>3225</v>
      </c>
      <c r="G905" s="8">
        <v>382</v>
      </c>
      <c r="H905" s="21" t="s">
        <v>1898</v>
      </c>
      <c r="I905" s="9">
        <f t="shared" si="58"/>
        <v>70</v>
      </c>
      <c r="J905" s="9">
        <f t="shared" si="57"/>
        <v>2</v>
      </c>
      <c r="K905" s="10" t="str">
        <f t="shared" si="60"/>
        <v>S2R70B2</v>
      </c>
      <c r="L905" s="10" t="s">
        <v>1899</v>
      </c>
      <c r="M905" s="10">
        <f>IF(Table1[[#This Row],[ID ROW]]&lt;=12,Table1[[#This Row],[ID ROW]],Table1[[#This Row],[ID ROW]]+INT((Table1[[#This Row],[ID ROW]]-1)/12)*2)</f>
        <v>80</v>
      </c>
      <c r="N905" s="10" t="str">
        <f t="shared" si="59"/>
        <v>LSR80B2</v>
      </c>
      <c r="O905" s="10">
        <f>IF(Table1[[#This Row],[ID ROW]]&lt;=12,1,INT((Table1[[#This Row],[ID ROW]]-1)/12)+1)</f>
        <v>6</v>
      </c>
      <c r="P905" s="10">
        <f>Table1[[#This Row],[ID ROW]]-((Table1[[#This Row],[SECT]]-1)*12)</f>
        <v>10</v>
      </c>
    </row>
    <row r="906" spans="1:16" ht="15.75" customHeight="1" x14ac:dyDescent="0.3">
      <c r="A906" s="6" t="s">
        <v>3226</v>
      </c>
      <c r="B906" s="6" t="s">
        <v>3227</v>
      </c>
      <c r="C906" s="6" t="s">
        <v>3228</v>
      </c>
      <c r="D906" s="6" t="s">
        <v>1464</v>
      </c>
      <c r="F906" s="13" t="s">
        <v>3229</v>
      </c>
      <c r="G906" s="8">
        <v>383</v>
      </c>
      <c r="H906" s="21" t="s">
        <v>1898</v>
      </c>
      <c r="I906" s="9">
        <f t="shared" si="58"/>
        <v>70</v>
      </c>
      <c r="J906" s="9">
        <f t="shared" si="57"/>
        <v>3</v>
      </c>
      <c r="K906" s="10" t="str">
        <f t="shared" si="60"/>
        <v>S2R70B3</v>
      </c>
      <c r="L906" s="10" t="s">
        <v>1899</v>
      </c>
      <c r="M906" s="10">
        <f>IF(Table1[[#This Row],[ID ROW]]&lt;=12,Table1[[#This Row],[ID ROW]],Table1[[#This Row],[ID ROW]]+INT((Table1[[#This Row],[ID ROW]]-1)/12)*2)</f>
        <v>80</v>
      </c>
      <c r="N906" s="10" t="str">
        <f t="shared" si="59"/>
        <v>LSR80B3</v>
      </c>
      <c r="O906" s="10">
        <f>IF(Table1[[#This Row],[ID ROW]]&lt;=12,1,INT((Table1[[#This Row],[ID ROW]]-1)/12)+1)</f>
        <v>6</v>
      </c>
      <c r="P906" s="10">
        <f>Table1[[#This Row],[ID ROW]]-((Table1[[#This Row],[SECT]]-1)*12)</f>
        <v>10</v>
      </c>
    </row>
    <row r="907" spans="1:16" ht="15.75" customHeight="1" x14ac:dyDescent="0.25">
      <c r="A907" s="6" t="s">
        <v>3230</v>
      </c>
      <c r="B907" s="6" t="s">
        <v>3231</v>
      </c>
      <c r="C907" s="6" t="s">
        <v>3232</v>
      </c>
      <c r="D907" s="6" t="s">
        <v>67</v>
      </c>
      <c r="F907" s="7" t="s">
        <v>3233</v>
      </c>
      <c r="G907" s="8">
        <v>384</v>
      </c>
      <c r="H907" s="21" t="s">
        <v>1898</v>
      </c>
      <c r="I907" s="9">
        <f t="shared" si="58"/>
        <v>70</v>
      </c>
      <c r="J907" s="9">
        <f t="shared" si="57"/>
        <v>4</v>
      </c>
      <c r="K907" s="10" t="str">
        <f t="shared" si="60"/>
        <v>S2R70B4</v>
      </c>
      <c r="L907" s="10" t="s">
        <v>1899</v>
      </c>
      <c r="M907" s="10">
        <f>IF(Table1[[#This Row],[ID ROW]]&lt;=12,Table1[[#This Row],[ID ROW]],Table1[[#This Row],[ID ROW]]+INT((Table1[[#This Row],[ID ROW]]-1)/12)*2)</f>
        <v>80</v>
      </c>
      <c r="N907" s="10" t="str">
        <f t="shared" si="59"/>
        <v>LSR80B4</v>
      </c>
      <c r="O907" s="10">
        <f>IF(Table1[[#This Row],[ID ROW]]&lt;=12,1,INT((Table1[[#This Row],[ID ROW]]-1)/12)+1)</f>
        <v>6</v>
      </c>
      <c r="P907" s="10">
        <f>Table1[[#This Row],[ID ROW]]-((Table1[[#This Row],[SECT]]-1)*12)</f>
        <v>10</v>
      </c>
    </row>
    <row r="908" spans="1:16" ht="15.75" customHeight="1" x14ac:dyDescent="0.3">
      <c r="A908" s="6" t="s">
        <v>3234</v>
      </c>
      <c r="B908" s="6" t="s">
        <v>3235</v>
      </c>
      <c r="C908" s="6" t="s">
        <v>3236</v>
      </c>
      <c r="D908" s="6" t="s">
        <v>3237</v>
      </c>
      <c r="F908" s="13" t="s">
        <v>3238</v>
      </c>
      <c r="G908" s="8">
        <v>385</v>
      </c>
      <c r="H908" s="21" t="s">
        <v>1898</v>
      </c>
      <c r="I908" s="9">
        <f t="shared" si="58"/>
        <v>70</v>
      </c>
      <c r="J908" s="9">
        <f t="shared" si="57"/>
        <v>5</v>
      </c>
      <c r="K908" s="10" t="str">
        <f t="shared" si="60"/>
        <v>S2R70B5</v>
      </c>
      <c r="L908" s="10" t="s">
        <v>1899</v>
      </c>
      <c r="M908" s="10">
        <f>IF(Table1[[#This Row],[ID ROW]]&lt;=12,Table1[[#This Row],[ID ROW]],Table1[[#This Row],[ID ROW]]+INT((Table1[[#This Row],[ID ROW]]-1)/12)*2)</f>
        <v>80</v>
      </c>
      <c r="N908" s="10" t="str">
        <f t="shared" si="59"/>
        <v>LSR80B5</v>
      </c>
      <c r="O908" s="10">
        <f>IF(Table1[[#This Row],[ID ROW]]&lt;=12,1,INT((Table1[[#This Row],[ID ROW]]-1)/12)+1)</f>
        <v>6</v>
      </c>
      <c r="P908" s="10">
        <f>Table1[[#This Row],[ID ROW]]-((Table1[[#This Row],[SECT]]-1)*12)</f>
        <v>10</v>
      </c>
    </row>
    <row r="909" spans="1:16" ht="15.75" customHeight="1" x14ac:dyDescent="0.25">
      <c r="A909" s="6" t="s">
        <v>3239</v>
      </c>
      <c r="B909" s="6" t="s">
        <v>1597</v>
      </c>
      <c r="C909" s="6" t="s">
        <v>3240</v>
      </c>
      <c r="D909" s="6" t="s">
        <v>3241</v>
      </c>
      <c r="F909" s="7" t="s">
        <v>3242</v>
      </c>
      <c r="G909" s="8">
        <v>386</v>
      </c>
      <c r="H909" s="21" t="s">
        <v>1898</v>
      </c>
      <c r="I909" s="9">
        <f t="shared" si="58"/>
        <v>71</v>
      </c>
      <c r="J909" s="9">
        <f t="shared" si="57"/>
        <v>1</v>
      </c>
      <c r="K909" s="10" t="str">
        <f t="shared" si="60"/>
        <v>S2R71B1</v>
      </c>
      <c r="L909" s="10" t="s">
        <v>1899</v>
      </c>
      <c r="M909" s="10">
        <f>IF(Table1[[#This Row],[ID ROW]]&lt;=12,Table1[[#This Row],[ID ROW]],Table1[[#This Row],[ID ROW]]+INT((Table1[[#This Row],[ID ROW]]-1)/12)*2)</f>
        <v>81</v>
      </c>
      <c r="N909" s="10" t="str">
        <f t="shared" si="59"/>
        <v>LSR81B1</v>
      </c>
      <c r="O909" s="10">
        <f>IF(Table1[[#This Row],[ID ROW]]&lt;=12,1,INT((Table1[[#This Row],[ID ROW]]-1)/12)+1)</f>
        <v>6</v>
      </c>
      <c r="P909" s="10">
        <f>Table1[[#This Row],[ID ROW]]-((Table1[[#This Row],[SECT]]-1)*12)</f>
        <v>11</v>
      </c>
    </row>
    <row r="910" spans="1:16" ht="15.75" customHeight="1" x14ac:dyDescent="0.3">
      <c r="A910" s="6" t="s">
        <v>3243</v>
      </c>
      <c r="B910" s="6" t="s">
        <v>2426</v>
      </c>
      <c r="C910" s="6" t="s">
        <v>67</v>
      </c>
      <c r="F910" s="13" t="s">
        <v>3244</v>
      </c>
      <c r="G910" s="8">
        <v>387</v>
      </c>
      <c r="H910" s="21" t="s">
        <v>1898</v>
      </c>
      <c r="I910" s="9">
        <f t="shared" si="58"/>
        <v>71</v>
      </c>
      <c r="J910" s="9">
        <f t="shared" si="57"/>
        <v>2</v>
      </c>
      <c r="K910" s="10" t="str">
        <f t="shared" si="60"/>
        <v>S2R71B2</v>
      </c>
      <c r="L910" s="10" t="s">
        <v>1899</v>
      </c>
      <c r="M910" s="10">
        <f>IF(Table1[[#This Row],[ID ROW]]&lt;=12,Table1[[#This Row],[ID ROW]],Table1[[#This Row],[ID ROW]]+INT((Table1[[#This Row],[ID ROW]]-1)/12)*2)</f>
        <v>81</v>
      </c>
      <c r="N910" s="10" t="str">
        <f t="shared" si="59"/>
        <v>LSR81B2</v>
      </c>
      <c r="O910" s="10">
        <f>IF(Table1[[#This Row],[ID ROW]]&lt;=12,1,INT((Table1[[#This Row],[ID ROW]]-1)/12)+1)</f>
        <v>6</v>
      </c>
      <c r="P910" s="10">
        <f>Table1[[#This Row],[ID ROW]]-((Table1[[#This Row],[SECT]]-1)*12)</f>
        <v>11</v>
      </c>
    </row>
    <row r="911" spans="1:16" ht="15.75" customHeight="1" x14ac:dyDescent="0.25">
      <c r="A911" s="6" t="s">
        <v>3245</v>
      </c>
      <c r="B911" s="6" t="s">
        <v>2539</v>
      </c>
      <c r="C911" s="6" t="s">
        <v>105</v>
      </c>
      <c r="D911" s="6" t="s">
        <v>106</v>
      </c>
      <c r="F911" s="7" t="s">
        <v>3246</v>
      </c>
      <c r="G911" s="8">
        <v>388</v>
      </c>
      <c r="H911" s="21" t="s">
        <v>1898</v>
      </c>
      <c r="I911" s="9">
        <f t="shared" si="58"/>
        <v>71</v>
      </c>
      <c r="J911" s="9">
        <f t="shared" si="57"/>
        <v>3</v>
      </c>
      <c r="K911" s="10" t="str">
        <f t="shared" si="60"/>
        <v>S2R71B3</v>
      </c>
      <c r="L911" s="10" t="s">
        <v>1899</v>
      </c>
      <c r="M911" s="10">
        <f>IF(Table1[[#This Row],[ID ROW]]&lt;=12,Table1[[#This Row],[ID ROW]],Table1[[#This Row],[ID ROW]]+INT((Table1[[#This Row],[ID ROW]]-1)/12)*2)</f>
        <v>81</v>
      </c>
      <c r="N911" s="10" t="str">
        <f t="shared" si="59"/>
        <v>LSR81B3</v>
      </c>
      <c r="O911" s="10">
        <f>IF(Table1[[#This Row],[ID ROW]]&lt;=12,1,INT((Table1[[#This Row],[ID ROW]]-1)/12)+1)</f>
        <v>6</v>
      </c>
      <c r="P911" s="10">
        <f>Table1[[#This Row],[ID ROW]]-((Table1[[#This Row],[SECT]]-1)*12)</f>
        <v>11</v>
      </c>
    </row>
    <row r="912" spans="1:16" ht="15.75" customHeight="1" x14ac:dyDescent="0.3">
      <c r="A912" s="6" t="s">
        <v>3247</v>
      </c>
      <c r="B912" s="6" t="s">
        <v>3248</v>
      </c>
      <c r="C912" s="6" t="s">
        <v>3249</v>
      </c>
      <c r="D912" s="6" t="s">
        <v>3250</v>
      </c>
      <c r="F912" s="13"/>
      <c r="G912" s="8">
        <v>389</v>
      </c>
      <c r="H912" s="21" t="s">
        <v>1898</v>
      </c>
      <c r="I912" s="9">
        <f t="shared" si="58"/>
        <v>71</v>
      </c>
      <c r="J912" s="9">
        <f t="shared" si="57"/>
        <v>4</v>
      </c>
      <c r="K912" s="10" t="str">
        <f t="shared" si="60"/>
        <v>S2R71B4</v>
      </c>
      <c r="L912" s="10" t="s">
        <v>1899</v>
      </c>
      <c r="M912" s="10">
        <f>IF(Table1[[#This Row],[ID ROW]]&lt;=12,Table1[[#This Row],[ID ROW]],Table1[[#This Row],[ID ROW]]+INT((Table1[[#This Row],[ID ROW]]-1)/12)*2)</f>
        <v>81</v>
      </c>
      <c r="N912" s="10" t="str">
        <f t="shared" si="59"/>
        <v>LSR81B4</v>
      </c>
      <c r="O912" s="10">
        <f>IF(Table1[[#This Row],[ID ROW]]&lt;=12,1,INT((Table1[[#This Row],[ID ROW]]-1)/12)+1)</f>
        <v>6</v>
      </c>
      <c r="P912" s="10">
        <f>Table1[[#This Row],[ID ROW]]-((Table1[[#This Row],[SECT]]-1)*12)</f>
        <v>11</v>
      </c>
    </row>
    <row r="913" spans="1:16" ht="15.75" customHeight="1" x14ac:dyDescent="0.25">
      <c r="A913" s="6" t="s">
        <v>3251</v>
      </c>
      <c r="B913" s="6" t="s">
        <v>3252</v>
      </c>
      <c r="C913" s="6" t="s">
        <v>3253</v>
      </c>
      <c r="D913" s="6" t="s">
        <v>3254</v>
      </c>
      <c r="F913" s="7"/>
      <c r="G913" s="8">
        <v>390</v>
      </c>
      <c r="H913" s="21" t="s">
        <v>1898</v>
      </c>
      <c r="I913" s="9">
        <f t="shared" si="58"/>
        <v>71</v>
      </c>
      <c r="J913" s="9">
        <f t="shared" si="57"/>
        <v>5</v>
      </c>
      <c r="K913" s="10" t="str">
        <f t="shared" si="60"/>
        <v>S2R71B5</v>
      </c>
      <c r="L913" s="10" t="s">
        <v>1899</v>
      </c>
      <c r="M913" s="10">
        <f>IF(Table1[[#This Row],[ID ROW]]&lt;=12,Table1[[#This Row],[ID ROW]],Table1[[#This Row],[ID ROW]]+INT((Table1[[#This Row],[ID ROW]]-1)/12)*2)</f>
        <v>81</v>
      </c>
      <c r="N913" s="10" t="str">
        <f t="shared" si="59"/>
        <v>LSR81B5</v>
      </c>
      <c r="O913" s="10">
        <f>IF(Table1[[#This Row],[ID ROW]]&lt;=12,1,INT((Table1[[#This Row],[ID ROW]]-1)/12)+1)</f>
        <v>6</v>
      </c>
      <c r="P913" s="10">
        <f>Table1[[#This Row],[ID ROW]]-((Table1[[#This Row],[SECT]]-1)*12)</f>
        <v>11</v>
      </c>
    </row>
    <row r="914" spans="1:16" ht="15.75" customHeight="1" x14ac:dyDescent="0.3">
      <c r="A914" s="6" t="s">
        <v>3255</v>
      </c>
      <c r="B914" s="6" t="s">
        <v>3256</v>
      </c>
      <c r="C914" s="6" t="s">
        <v>1236</v>
      </c>
      <c r="D914" s="6" t="s">
        <v>264</v>
      </c>
      <c r="F914" s="13"/>
      <c r="G914" s="8">
        <v>391</v>
      </c>
      <c r="H914" s="21" t="s">
        <v>1898</v>
      </c>
      <c r="I914" s="9">
        <f t="shared" si="58"/>
        <v>71</v>
      </c>
      <c r="J914" s="9">
        <f t="shared" si="57"/>
        <v>6</v>
      </c>
      <c r="K914" s="10" t="str">
        <f t="shared" si="60"/>
        <v>S2R71B6</v>
      </c>
      <c r="L914" s="10" t="s">
        <v>1899</v>
      </c>
      <c r="M914" s="10">
        <f>IF(Table1[[#This Row],[ID ROW]]&lt;=12,Table1[[#This Row],[ID ROW]],Table1[[#This Row],[ID ROW]]+INT((Table1[[#This Row],[ID ROW]]-1)/12)*2)</f>
        <v>81</v>
      </c>
      <c r="N914" s="10" t="str">
        <f t="shared" si="59"/>
        <v>LSR81B6</v>
      </c>
      <c r="O914" s="10">
        <f>IF(Table1[[#This Row],[ID ROW]]&lt;=12,1,INT((Table1[[#This Row],[ID ROW]]-1)/12)+1)</f>
        <v>6</v>
      </c>
      <c r="P914" s="10">
        <f>Table1[[#This Row],[ID ROW]]-((Table1[[#This Row],[SECT]]-1)*12)</f>
        <v>11</v>
      </c>
    </row>
    <row r="915" spans="1:16" ht="15.75" customHeight="1" x14ac:dyDescent="0.25">
      <c r="A915" s="6" t="s">
        <v>3257</v>
      </c>
      <c r="B915" s="6" t="s">
        <v>3258</v>
      </c>
      <c r="C915" s="6" t="s">
        <v>52</v>
      </c>
      <c r="D915" s="6" t="s">
        <v>3259</v>
      </c>
      <c r="F915" s="7"/>
      <c r="G915" s="8">
        <v>392</v>
      </c>
      <c r="H915" s="21" t="s">
        <v>1898</v>
      </c>
      <c r="I915" s="9">
        <f t="shared" si="58"/>
        <v>72</v>
      </c>
      <c r="J915" s="9">
        <f t="shared" si="57"/>
        <v>1</v>
      </c>
      <c r="K915" s="10" t="str">
        <f t="shared" si="60"/>
        <v>S2R72B1</v>
      </c>
      <c r="L915" s="10" t="s">
        <v>1899</v>
      </c>
      <c r="M915" s="10">
        <f>IF(Table1[[#This Row],[ID ROW]]&lt;=12,Table1[[#This Row],[ID ROW]],Table1[[#This Row],[ID ROW]]+INT((Table1[[#This Row],[ID ROW]]-1)/12)*2)</f>
        <v>82</v>
      </c>
      <c r="N915" s="10" t="str">
        <f t="shared" si="59"/>
        <v>LSR82B1</v>
      </c>
      <c r="O915" s="10">
        <f>IF(Table1[[#This Row],[ID ROW]]&lt;=12,1,INT((Table1[[#This Row],[ID ROW]]-1)/12)+1)</f>
        <v>6</v>
      </c>
      <c r="P915" s="10">
        <f>Table1[[#This Row],[ID ROW]]-((Table1[[#This Row],[SECT]]-1)*12)</f>
        <v>12</v>
      </c>
    </row>
    <row r="916" spans="1:16" ht="15.75" customHeight="1" x14ac:dyDescent="0.3">
      <c r="A916" s="6" t="s">
        <v>3260</v>
      </c>
      <c r="B916" s="6" t="s">
        <v>3261</v>
      </c>
      <c r="C916" s="6" t="s">
        <v>3262</v>
      </c>
      <c r="D916" s="6" t="s">
        <v>3263</v>
      </c>
      <c r="F916" s="13"/>
      <c r="G916" s="8">
        <v>393</v>
      </c>
      <c r="H916" s="21" t="s">
        <v>1898</v>
      </c>
      <c r="I916" s="9">
        <f t="shared" si="58"/>
        <v>72</v>
      </c>
      <c r="J916" s="9">
        <f t="shared" si="57"/>
        <v>2</v>
      </c>
      <c r="K916" s="10" t="str">
        <f t="shared" si="60"/>
        <v>S2R72B2</v>
      </c>
      <c r="L916" s="10" t="s">
        <v>1899</v>
      </c>
      <c r="M916" s="10">
        <f>IF(Table1[[#This Row],[ID ROW]]&lt;=12,Table1[[#This Row],[ID ROW]],Table1[[#This Row],[ID ROW]]+INT((Table1[[#This Row],[ID ROW]]-1)/12)*2)</f>
        <v>82</v>
      </c>
      <c r="N916" s="10" t="str">
        <f t="shared" si="59"/>
        <v>LSR82B2</v>
      </c>
      <c r="O916" s="10">
        <f>IF(Table1[[#This Row],[ID ROW]]&lt;=12,1,INT((Table1[[#This Row],[ID ROW]]-1)/12)+1)</f>
        <v>6</v>
      </c>
      <c r="P916" s="10">
        <f>Table1[[#This Row],[ID ROW]]-((Table1[[#This Row],[SECT]]-1)*12)</f>
        <v>12</v>
      </c>
    </row>
    <row r="917" spans="1:16" ht="15.75" customHeight="1" x14ac:dyDescent="0.25">
      <c r="A917" s="6" t="s">
        <v>3264</v>
      </c>
      <c r="B917" s="6" t="s">
        <v>3265</v>
      </c>
      <c r="C917" s="6" t="s">
        <v>3266</v>
      </c>
      <c r="D917" s="6" t="s">
        <v>3267</v>
      </c>
      <c r="F917" s="7"/>
      <c r="G917" s="8">
        <v>394</v>
      </c>
      <c r="H917" s="21" t="s">
        <v>1898</v>
      </c>
      <c r="I917" s="9">
        <f t="shared" si="58"/>
        <v>72</v>
      </c>
      <c r="J917" s="9">
        <f t="shared" si="57"/>
        <v>3</v>
      </c>
      <c r="K917" s="10" t="str">
        <f t="shared" si="60"/>
        <v>S2R72B3</v>
      </c>
      <c r="L917" s="10" t="s">
        <v>1899</v>
      </c>
      <c r="M917" s="10">
        <f>IF(Table1[[#This Row],[ID ROW]]&lt;=12,Table1[[#This Row],[ID ROW]],Table1[[#This Row],[ID ROW]]+INT((Table1[[#This Row],[ID ROW]]-1)/12)*2)</f>
        <v>82</v>
      </c>
      <c r="N917" s="10" t="str">
        <f t="shared" si="59"/>
        <v>LSR82B3</v>
      </c>
      <c r="O917" s="10">
        <f>IF(Table1[[#This Row],[ID ROW]]&lt;=12,1,INT((Table1[[#This Row],[ID ROW]]-1)/12)+1)</f>
        <v>6</v>
      </c>
      <c r="P917" s="10">
        <f>Table1[[#This Row],[ID ROW]]-((Table1[[#This Row],[SECT]]-1)*12)</f>
        <v>12</v>
      </c>
    </row>
    <row r="918" spans="1:16" ht="15.75" customHeight="1" x14ac:dyDescent="0.3">
      <c r="A918" s="6" t="s">
        <v>3268</v>
      </c>
      <c r="B918" s="6" t="s">
        <v>3269</v>
      </c>
      <c r="C918" s="6" t="s">
        <v>3270</v>
      </c>
      <c r="D918" s="6" t="s">
        <v>3271</v>
      </c>
      <c r="F918" s="13"/>
      <c r="G918" s="8">
        <v>395</v>
      </c>
      <c r="H918" s="21" t="s">
        <v>1898</v>
      </c>
      <c r="I918" s="9">
        <f t="shared" si="58"/>
        <v>72</v>
      </c>
      <c r="J918" s="9">
        <f t="shared" si="57"/>
        <v>4</v>
      </c>
      <c r="K918" s="10" t="str">
        <f t="shared" si="60"/>
        <v>S2R72B4</v>
      </c>
      <c r="L918" s="10" t="s">
        <v>1899</v>
      </c>
      <c r="M918" s="10">
        <f>IF(Table1[[#This Row],[ID ROW]]&lt;=12,Table1[[#This Row],[ID ROW]],Table1[[#This Row],[ID ROW]]+INT((Table1[[#This Row],[ID ROW]]-1)/12)*2)</f>
        <v>82</v>
      </c>
      <c r="N918" s="10" t="str">
        <f t="shared" si="59"/>
        <v>LSR82B4</v>
      </c>
      <c r="O918" s="10">
        <f>IF(Table1[[#This Row],[ID ROW]]&lt;=12,1,INT((Table1[[#This Row],[ID ROW]]-1)/12)+1)</f>
        <v>6</v>
      </c>
      <c r="P918" s="10">
        <f>Table1[[#This Row],[ID ROW]]-((Table1[[#This Row],[SECT]]-1)*12)</f>
        <v>12</v>
      </c>
    </row>
    <row r="919" spans="1:16" ht="15.75" customHeight="1" x14ac:dyDescent="0.25">
      <c r="A919" s="6" t="s">
        <v>3272</v>
      </c>
      <c r="B919" s="6" t="s">
        <v>3273</v>
      </c>
      <c r="C919" s="6" t="s">
        <v>2334</v>
      </c>
      <c r="F919" s="7"/>
      <c r="G919" s="8">
        <v>396</v>
      </c>
      <c r="H919" s="21" t="s">
        <v>1898</v>
      </c>
      <c r="I919" s="9">
        <f t="shared" si="58"/>
        <v>72</v>
      </c>
      <c r="J919" s="9">
        <f t="shared" si="57"/>
        <v>5</v>
      </c>
      <c r="K919" s="10" t="str">
        <f t="shared" si="60"/>
        <v>S2R72B5</v>
      </c>
      <c r="L919" s="10" t="s">
        <v>1899</v>
      </c>
      <c r="M919" s="10">
        <f>IF(Table1[[#This Row],[ID ROW]]&lt;=12,Table1[[#This Row],[ID ROW]],Table1[[#This Row],[ID ROW]]+INT((Table1[[#This Row],[ID ROW]]-1)/12)*2)</f>
        <v>82</v>
      </c>
      <c r="N919" s="10" t="str">
        <f t="shared" si="59"/>
        <v>LSR82B5</v>
      </c>
      <c r="O919" s="10">
        <f>IF(Table1[[#This Row],[ID ROW]]&lt;=12,1,INT((Table1[[#This Row],[ID ROW]]-1)/12)+1)</f>
        <v>6</v>
      </c>
      <c r="P919" s="10">
        <f>Table1[[#This Row],[ID ROW]]-((Table1[[#This Row],[SECT]]-1)*12)</f>
        <v>12</v>
      </c>
    </row>
    <row r="920" spans="1:16" ht="15.75" customHeight="1" x14ac:dyDescent="0.25">
      <c r="A920" s="6" t="s">
        <v>165</v>
      </c>
      <c r="B920" s="6" t="s">
        <v>3274</v>
      </c>
      <c r="C920" s="6" t="s">
        <v>3275</v>
      </c>
      <c r="D920" s="6" t="s">
        <v>3276</v>
      </c>
      <c r="F920" s="7"/>
      <c r="G920" s="8">
        <v>397</v>
      </c>
      <c r="H920" s="21" t="s">
        <v>1898</v>
      </c>
      <c r="I920" s="9">
        <f t="shared" si="58"/>
        <v>73</v>
      </c>
      <c r="J920" s="9">
        <f t="shared" si="57"/>
        <v>1</v>
      </c>
      <c r="K920" s="10" t="str">
        <f t="shared" si="60"/>
        <v>S2R73B1</v>
      </c>
      <c r="L920" s="10" t="s">
        <v>1899</v>
      </c>
      <c r="M920" s="10">
        <f>IF(Table1[[#This Row],[ID ROW]]&lt;=12,Table1[[#This Row],[ID ROW]],Table1[[#This Row],[ID ROW]]+INT((Table1[[#This Row],[ID ROW]]-1)/12)*2)</f>
        <v>85</v>
      </c>
      <c r="N920" s="10" t="str">
        <f t="shared" si="59"/>
        <v>LSR85B1</v>
      </c>
      <c r="O920" s="10">
        <f>IF(Table1[[#This Row],[ID ROW]]&lt;=12,1,INT((Table1[[#This Row],[ID ROW]]-1)/12)+1)</f>
        <v>7</v>
      </c>
      <c r="P920" s="10">
        <f>Table1[[#This Row],[ID ROW]]-((Table1[[#This Row],[SECT]]-1)*12)</f>
        <v>1</v>
      </c>
    </row>
    <row r="921" spans="1:16" ht="15.75" customHeight="1" x14ac:dyDescent="0.3">
      <c r="A921" s="6" t="s">
        <v>3277</v>
      </c>
      <c r="B921" s="6" t="s">
        <v>3278</v>
      </c>
      <c r="C921" s="6" t="s">
        <v>3279</v>
      </c>
      <c r="D921" s="6" t="s">
        <v>3280</v>
      </c>
      <c r="F921" s="13"/>
      <c r="G921" s="8">
        <v>398</v>
      </c>
      <c r="H921" s="21" t="s">
        <v>1898</v>
      </c>
      <c r="I921" s="9">
        <f t="shared" si="58"/>
        <v>73</v>
      </c>
      <c r="J921" s="9">
        <f t="shared" si="57"/>
        <v>2</v>
      </c>
      <c r="K921" s="10" t="str">
        <f t="shared" si="60"/>
        <v>S2R73B2</v>
      </c>
      <c r="L921" s="10" t="s">
        <v>1899</v>
      </c>
      <c r="M921" s="10">
        <f>IF(Table1[[#This Row],[ID ROW]]&lt;=12,Table1[[#This Row],[ID ROW]],Table1[[#This Row],[ID ROW]]+INT((Table1[[#This Row],[ID ROW]]-1)/12)*2)</f>
        <v>85</v>
      </c>
      <c r="N921" s="10" t="str">
        <f t="shared" si="59"/>
        <v>LSR85B2</v>
      </c>
      <c r="O921" s="10">
        <f>IF(Table1[[#This Row],[ID ROW]]&lt;=12,1,INT((Table1[[#This Row],[ID ROW]]-1)/12)+1)</f>
        <v>7</v>
      </c>
      <c r="P921" s="10">
        <f>Table1[[#This Row],[ID ROW]]-((Table1[[#This Row],[SECT]]-1)*12)</f>
        <v>1</v>
      </c>
    </row>
    <row r="922" spans="1:16" ht="15.75" customHeight="1" x14ac:dyDescent="0.25">
      <c r="A922" s="6" t="s">
        <v>3281</v>
      </c>
      <c r="B922" s="6" t="s">
        <v>3282</v>
      </c>
      <c r="C922" s="6" t="s">
        <v>264</v>
      </c>
      <c r="F922" s="7"/>
      <c r="G922" s="8">
        <v>399</v>
      </c>
      <c r="H922" s="21" t="s">
        <v>1898</v>
      </c>
      <c r="I922" s="9">
        <f t="shared" si="58"/>
        <v>73</v>
      </c>
      <c r="J922" s="9">
        <f t="shared" si="57"/>
        <v>3</v>
      </c>
      <c r="K922" s="10" t="str">
        <f t="shared" si="60"/>
        <v>S2R73B3</v>
      </c>
      <c r="L922" s="10" t="s">
        <v>1899</v>
      </c>
      <c r="M922" s="10">
        <f>IF(Table1[[#This Row],[ID ROW]]&lt;=12,Table1[[#This Row],[ID ROW]],Table1[[#This Row],[ID ROW]]+INT((Table1[[#This Row],[ID ROW]]-1)/12)*2)</f>
        <v>85</v>
      </c>
      <c r="N922" s="10" t="str">
        <f t="shared" si="59"/>
        <v>LSR85B3</v>
      </c>
      <c r="O922" s="10">
        <f>IF(Table1[[#This Row],[ID ROW]]&lt;=12,1,INT((Table1[[#This Row],[ID ROW]]-1)/12)+1)</f>
        <v>7</v>
      </c>
      <c r="P922" s="10">
        <f>Table1[[#This Row],[ID ROW]]-((Table1[[#This Row],[SECT]]-1)*12)</f>
        <v>1</v>
      </c>
    </row>
    <row r="923" spans="1:16" ht="15.75" customHeight="1" x14ac:dyDescent="0.3">
      <c r="A923" s="6" t="s">
        <v>3283</v>
      </c>
      <c r="B923" s="6" t="s">
        <v>3284</v>
      </c>
      <c r="C923" s="6" t="s">
        <v>3285</v>
      </c>
      <c r="D923" s="6" t="s">
        <v>3286</v>
      </c>
      <c r="F923" s="13"/>
      <c r="G923" s="8">
        <v>400</v>
      </c>
      <c r="H923" s="21" t="s">
        <v>1898</v>
      </c>
      <c r="I923" s="9">
        <f t="shared" si="58"/>
        <v>73</v>
      </c>
      <c r="J923" s="9">
        <f t="shared" ref="J923:J986" si="61">IF(MOD(G923-1,11)&lt;6,(MOD(G923-1,11)+1-(5*FLOOR(MOD(G923-1,11),6))),(MOD(G923-1,11))-5)</f>
        <v>4</v>
      </c>
      <c r="K923" s="10" t="str">
        <f t="shared" si="60"/>
        <v>S2R73B4</v>
      </c>
      <c r="L923" s="10" t="s">
        <v>1899</v>
      </c>
      <c r="M923" s="10">
        <f>IF(Table1[[#This Row],[ID ROW]]&lt;=12,Table1[[#This Row],[ID ROW]],Table1[[#This Row],[ID ROW]]+INT((Table1[[#This Row],[ID ROW]]-1)/12)*2)</f>
        <v>85</v>
      </c>
      <c r="N923" s="10" t="str">
        <f t="shared" si="59"/>
        <v>LSR85B4</v>
      </c>
      <c r="O923" s="10">
        <f>IF(Table1[[#This Row],[ID ROW]]&lt;=12,1,INT((Table1[[#This Row],[ID ROW]]-1)/12)+1)</f>
        <v>7</v>
      </c>
      <c r="P923" s="10">
        <f>Table1[[#This Row],[ID ROW]]-((Table1[[#This Row],[SECT]]-1)*12)</f>
        <v>1</v>
      </c>
    </row>
    <row r="924" spans="1:16" ht="15.75" customHeight="1" x14ac:dyDescent="0.25">
      <c r="A924" s="6" t="s">
        <v>3287</v>
      </c>
      <c r="B924" s="6" t="s">
        <v>3288</v>
      </c>
      <c r="C924" s="6" t="s">
        <v>3289</v>
      </c>
      <c r="D924" s="6" t="s">
        <v>3290</v>
      </c>
      <c r="F924" s="7"/>
      <c r="G924" s="8">
        <v>401</v>
      </c>
      <c r="H924" s="21" t="s">
        <v>1898</v>
      </c>
      <c r="I924" s="9">
        <f t="shared" ref="I924:I987" si="62">INT((G924-1)/11)*2 + IF(MOD(G924-1, 11) &lt; 6, 1, 2)</f>
        <v>73</v>
      </c>
      <c r="J924" s="9">
        <f t="shared" si="61"/>
        <v>5</v>
      </c>
      <c r="K924" s="10" t="str">
        <f t="shared" si="60"/>
        <v>S2R73B5</v>
      </c>
      <c r="L924" s="10" t="s">
        <v>1899</v>
      </c>
      <c r="M924" s="10">
        <f>IF(Table1[[#This Row],[ID ROW]]&lt;=12,Table1[[#This Row],[ID ROW]],Table1[[#This Row],[ID ROW]]+INT((Table1[[#This Row],[ID ROW]]-1)/12)*2)</f>
        <v>85</v>
      </c>
      <c r="N924" s="10" t="str">
        <f t="shared" ref="N924:N987" si="63">L924&amp;"R"&amp;M924&amp;"B"&amp;J924</f>
        <v>LSR85B5</v>
      </c>
      <c r="O924" s="10">
        <f>IF(Table1[[#This Row],[ID ROW]]&lt;=12,1,INT((Table1[[#This Row],[ID ROW]]-1)/12)+1)</f>
        <v>7</v>
      </c>
      <c r="P924" s="10">
        <f>Table1[[#This Row],[ID ROW]]-((Table1[[#This Row],[SECT]]-1)*12)</f>
        <v>1</v>
      </c>
    </row>
    <row r="925" spans="1:16" ht="15.75" customHeight="1" x14ac:dyDescent="0.3">
      <c r="A925" s="6" t="s">
        <v>3291</v>
      </c>
      <c r="B925" s="6" t="s">
        <v>3288</v>
      </c>
      <c r="C925" s="6" t="s">
        <v>3292</v>
      </c>
      <c r="D925" s="6" t="s">
        <v>3293</v>
      </c>
      <c r="F925" s="13"/>
      <c r="G925" s="8">
        <v>402</v>
      </c>
      <c r="H925" s="21" t="s">
        <v>1898</v>
      </c>
      <c r="I925" s="9">
        <f t="shared" si="62"/>
        <v>73</v>
      </c>
      <c r="J925" s="9">
        <f t="shared" si="61"/>
        <v>6</v>
      </c>
      <c r="K925" s="10" t="str">
        <f t="shared" si="60"/>
        <v>S2R73B6</v>
      </c>
      <c r="L925" s="10" t="s">
        <v>1899</v>
      </c>
      <c r="M925" s="10">
        <f>IF(Table1[[#This Row],[ID ROW]]&lt;=12,Table1[[#This Row],[ID ROW]],Table1[[#This Row],[ID ROW]]+INT((Table1[[#This Row],[ID ROW]]-1)/12)*2)</f>
        <v>85</v>
      </c>
      <c r="N925" s="10" t="str">
        <f t="shared" si="63"/>
        <v>LSR85B6</v>
      </c>
      <c r="O925" s="10">
        <f>IF(Table1[[#This Row],[ID ROW]]&lt;=12,1,INT((Table1[[#This Row],[ID ROW]]-1)/12)+1)</f>
        <v>7</v>
      </c>
      <c r="P925" s="10">
        <f>Table1[[#This Row],[ID ROW]]-((Table1[[#This Row],[SECT]]-1)*12)</f>
        <v>1</v>
      </c>
    </row>
    <row r="926" spans="1:16" ht="15.75" customHeight="1" x14ac:dyDescent="0.25">
      <c r="A926" s="6" t="s">
        <v>3294</v>
      </c>
      <c r="B926" s="6" t="s">
        <v>65</v>
      </c>
      <c r="C926" s="6" t="s">
        <v>67</v>
      </c>
      <c r="D926" s="6" t="s">
        <v>40</v>
      </c>
      <c r="F926" s="7"/>
      <c r="G926" s="8">
        <v>403</v>
      </c>
      <c r="H926" s="21" t="s">
        <v>1898</v>
      </c>
      <c r="I926" s="9">
        <f t="shared" si="62"/>
        <v>74</v>
      </c>
      <c r="J926" s="9">
        <f t="shared" si="61"/>
        <v>1</v>
      </c>
      <c r="K926" s="10" t="str">
        <f t="shared" si="60"/>
        <v>S2R74B1</v>
      </c>
      <c r="L926" s="10" t="s">
        <v>1899</v>
      </c>
      <c r="M926" s="10">
        <f>IF(Table1[[#This Row],[ID ROW]]&lt;=12,Table1[[#This Row],[ID ROW]],Table1[[#This Row],[ID ROW]]+INT((Table1[[#This Row],[ID ROW]]-1)/12)*2)</f>
        <v>86</v>
      </c>
      <c r="N926" s="10" t="str">
        <f t="shared" si="63"/>
        <v>LSR86B1</v>
      </c>
      <c r="O926" s="10">
        <f>IF(Table1[[#This Row],[ID ROW]]&lt;=12,1,INT((Table1[[#This Row],[ID ROW]]-1)/12)+1)</f>
        <v>7</v>
      </c>
      <c r="P926" s="10">
        <f>Table1[[#This Row],[ID ROW]]-((Table1[[#This Row],[SECT]]-1)*12)</f>
        <v>2</v>
      </c>
    </row>
    <row r="927" spans="1:16" ht="15.75" customHeight="1" x14ac:dyDescent="0.3">
      <c r="A927" s="6" t="s">
        <v>165</v>
      </c>
      <c r="B927" s="6" t="s">
        <v>3295</v>
      </c>
      <c r="C927" s="6" t="s">
        <v>3296</v>
      </c>
      <c r="D927" s="6" t="s">
        <v>52</v>
      </c>
      <c r="F927" s="13"/>
      <c r="G927" s="8">
        <v>404</v>
      </c>
      <c r="H927" s="21" t="s">
        <v>1898</v>
      </c>
      <c r="I927" s="9">
        <f t="shared" si="62"/>
        <v>74</v>
      </c>
      <c r="J927" s="9">
        <f t="shared" si="61"/>
        <v>2</v>
      </c>
      <c r="K927" s="10" t="str">
        <f t="shared" si="60"/>
        <v>S2R74B2</v>
      </c>
      <c r="L927" s="10" t="s">
        <v>1899</v>
      </c>
      <c r="M927" s="10">
        <f>IF(Table1[[#This Row],[ID ROW]]&lt;=12,Table1[[#This Row],[ID ROW]],Table1[[#This Row],[ID ROW]]+INT((Table1[[#This Row],[ID ROW]]-1)/12)*2)</f>
        <v>86</v>
      </c>
      <c r="N927" s="10" t="str">
        <f t="shared" si="63"/>
        <v>LSR86B2</v>
      </c>
      <c r="O927" s="10">
        <f>IF(Table1[[#This Row],[ID ROW]]&lt;=12,1,INT((Table1[[#This Row],[ID ROW]]-1)/12)+1)</f>
        <v>7</v>
      </c>
      <c r="P927" s="10">
        <f>Table1[[#This Row],[ID ROW]]-((Table1[[#This Row],[SECT]]-1)*12)</f>
        <v>2</v>
      </c>
    </row>
    <row r="928" spans="1:16" ht="15.75" customHeight="1" x14ac:dyDescent="0.25">
      <c r="A928" s="6" t="s">
        <v>3297</v>
      </c>
      <c r="B928" s="6" t="s">
        <v>1731</v>
      </c>
      <c r="C928" s="6" t="s">
        <v>67</v>
      </c>
      <c r="F928" s="7"/>
      <c r="G928" s="8">
        <v>405</v>
      </c>
      <c r="H928" s="21" t="s">
        <v>1898</v>
      </c>
      <c r="I928" s="9">
        <f t="shared" si="62"/>
        <v>74</v>
      </c>
      <c r="J928" s="9">
        <f t="shared" si="61"/>
        <v>3</v>
      </c>
      <c r="K928" s="10" t="str">
        <f t="shared" si="60"/>
        <v>S2R74B3</v>
      </c>
      <c r="L928" s="10" t="s">
        <v>1899</v>
      </c>
      <c r="M928" s="10">
        <f>IF(Table1[[#This Row],[ID ROW]]&lt;=12,Table1[[#This Row],[ID ROW]],Table1[[#This Row],[ID ROW]]+INT((Table1[[#This Row],[ID ROW]]-1)/12)*2)</f>
        <v>86</v>
      </c>
      <c r="N928" s="10" t="str">
        <f t="shared" si="63"/>
        <v>LSR86B3</v>
      </c>
      <c r="O928" s="10">
        <f>IF(Table1[[#This Row],[ID ROW]]&lt;=12,1,INT((Table1[[#This Row],[ID ROW]]-1)/12)+1)</f>
        <v>7</v>
      </c>
      <c r="P928" s="10">
        <f>Table1[[#This Row],[ID ROW]]-((Table1[[#This Row],[SECT]]-1)*12)</f>
        <v>2</v>
      </c>
    </row>
    <row r="929" spans="1:16" ht="15.75" customHeight="1" x14ac:dyDescent="0.3">
      <c r="A929" s="6" t="s">
        <v>3298</v>
      </c>
      <c r="B929" s="6" t="s">
        <v>3299</v>
      </c>
      <c r="C929" s="6" t="s">
        <v>3300</v>
      </c>
      <c r="D929" s="6" t="s">
        <v>3301</v>
      </c>
      <c r="F929" s="13"/>
      <c r="G929" s="8">
        <v>406</v>
      </c>
      <c r="H929" s="21" t="s">
        <v>1898</v>
      </c>
      <c r="I929" s="9">
        <f t="shared" si="62"/>
        <v>74</v>
      </c>
      <c r="J929" s="9">
        <f t="shared" si="61"/>
        <v>4</v>
      </c>
      <c r="K929" s="10" t="str">
        <f t="shared" si="60"/>
        <v>S2R74B4</v>
      </c>
      <c r="L929" s="10" t="s">
        <v>1899</v>
      </c>
      <c r="M929" s="10">
        <f>IF(Table1[[#This Row],[ID ROW]]&lt;=12,Table1[[#This Row],[ID ROW]],Table1[[#This Row],[ID ROW]]+INT((Table1[[#This Row],[ID ROW]]-1)/12)*2)</f>
        <v>86</v>
      </c>
      <c r="N929" s="10" t="str">
        <f t="shared" si="63"/>
        <v>LSR86B4</v>
      </c>
      <c r="O929" s="10">
        <f>IF(Table1[[#This Row],[ID ROW]]&lt;=12,1,INT((Table1[[#This Row],[ID ROW]]-1)/12)+1)</f>
        <v>7</v>
      </c>
      <c r="P929" s="10">
        <f>Table1[[#This Row],[ID ROW]]-((Table1[[#This Row],[SECT]]-1)*12)</f>
        <v>2</v>
      </c>
    </row>
    <row r="930" spans="1:16" ht="15.75" customHeight="1" x14ac:dyDescent="0.25">
      <c r="A930" s="6" t="s">
        <v>3302</v>
      </c>
      <c r="B930" s="6" t="s">
        <v>3303</v>
      </c>
      <c r="C930" s="6" t="s">
        <v>3304</v>
      </c>
      <c r="D930" s="6" t="s">
        <v>3305</v>
      </c>
      <c r="F930" s="7"/>
      <c r="G930" s="8">
        <v>407</v>
      </c>
      <c r="H930" s="21" t="s">
        <v>1898</v>
      </c>
      <c r="I930" s="9">
        <f t="shared" si="62"/>
        <v>74</v>
      </c>
      <c r="J930" s="9">
        <f t="shared" si="61"/>
        <v>5</v>
      </c>
      <c r="K930" s="10" t="str">
        <f t="shared" si="60"/>
        <v>S2R74B5</v>
      </c>
      <c r="L930" s="10" t="s">
        <v>1899</v>
      </c>
      <c r="M930" s="10">
        <f>IF(Table1[[#This Row],[ID ROW]]&lt;=12,Table1[[#This Row],[ID ROW]],Table1[[#This Row],[ID ROW]]+INT((Table1[[#This Row],[ID ROW]]-1)/12)*2)</f>
        <v>86</v>
      </c>
      <c r="N930" s="10" t="str">
        <f t="shared" si="63"/>
        <v>LSR86B5</v>
      </c>
      <c r="O930" s="10">
        <f>IF(Table1[[#This Row],[ID ROW]]&lt;=12,1,INT((Table1[[#This Row],[ID ROW]]-1)/12)+1)</f>
        <v>7</v>
      </c>
      <c r="P930" s="10">
        <f>Table1[[#This Row],[ID ROW]]-((Table1[[#This Row],[SECT]]-1)*12)</f>
        <v>2</v>
      </c>
    </row>
    <row r="931" spans="1:16" ht="15.75" customHeight="1" x14ac:dyDescent="0.3">
      <c r="A931" s="6" t="s">
        <v>3306</v>
      </c>
      <c r="B931" s="6" t="s">
        <v>3307</v>
      </c>
      <c r="C931" s="6" t="s">
        <v>3308</v>
      </c>
      <c r="D931" s="6" t="s">
        <v>3309</v>
      </c>
      <c r="F931" s="13"/>
      <c r="G931" s="8">
        <v>408</v>
      </c>
      <c r="H931" s="21" t="s">
        <v>1898</v>
      </c>
      <c r="I931" s="9">
        <f t="shared" si="62"/>
        <v>75</v>
      </c>
      <c r="J931" s="9">
        <f t="shared" si="61"/>
        <v>1</v>
      </c>
      <c r="K931" s="10" t="str">
        <f t="shared" si="60"/>
        <v>S2R75B1</v>
      </c>
      <c r="L931" s="10" t="s">
        <v>1899</v>
      </c>
      <c r="M931" s="10">
        <f>IF(Table1[[#This Row],[ID ROW]]&lt;=12,Table1[[#This Row],[ID ROW]],Table1[[#This Row],[ID ROW]]+INT((Table1[[#This Row],[ID ROW]]-1)/12)*2)</f>
        <v>87</v>
      </c>
      <c r="N931" s="10" t="str">
        <f t="shared" si="63"/>
        <v>LSR87B1</v>
      </c>
      <c r="O931" s="10">
        <f>IF(Table1[[#This Row],[ID ROW]]&lt;=12,1,INT((Table1[[#This Row],[ID ROW]]-1)/12)+1)</f>
        <v>7</v>
      </c>
      <c r="P931" s="10">
        <f>Table1[[#This Row],[ID ROW]]-((Table1[[#This Row],[SECT]]-1)*12)</f>
        <v>3</v>
      </c>
    </row>
    <row r="932" spans="1:16" ht="15.75" customHeight="1" x14ac:dyDescent="0.25">
      <c r="A932" s="6" t="s">
        <v>3310</v>
      </c>
      <c r="B932" s="6" t="s">
        <v>3311</v>
      </c>
      <c r="C932" s="6" t="s">
        <v>3312</v>
      </c>
      <c r="F932" s="7"/>
      <c r="G932" s="8">
        <v>409</v>
      </c>
      <c r="H932" s="21" t="s">
        <v>1898</v>
      </c>
      <c r="I932" s="9">
        <f t="shared" si="62"/>
        <v>75</v>
      </c>
      <c r="J932" s="9">
        <f t="shared" si="61"/>
        <v>2</v>
      </c>
      <c r="K932" s="10" t="str">
        <f t="shared" si="60"/>
        <v>S2R75B2</v>
      </c>
      <c r="L932" s="10" t="s">
        <v>1899</v>
      </c>
      <c r="M932" s="10">
        <f>IF(Table1[[#This Row],[ID ROW]]&lt;=12,Table1[[#This Row],[ID ROW]],Table1[[#This Row],[ID ROW]]+INT((Table1[[#This Row],[ID ROW]]-1)/12)*2)</f>
        <v>87</v>
      </c>
      <c r="N932" s="10" t="str">
        <f t="shared" si="63"/>
        <v>LSR87B2</v>
      </c>
      <c r="O932" s="10">
        <f>IF(Table1[[#This Row],[ID ROW]]&lt;=12,1,INT((Table1[[#This Row],[ID ROW]]-1)/12)+1)</f>
        <v>7</v>
      </c>
      <c r="P932" s="10">
        <f>Table1[[#This Row],[ID ROW]]-((Table1[[#This Row],[SECT]]-1)*12)</f>
        <v>3</v>
      </c>
    </row>
    <row r="933" spans="1:16" ht="15.75" customHeight="1" x14ac:dyDescent="0.3">
      <c r="A933" s="6" t="s">
        <v>3313</v>
      </c>
      <c r="B933" s="6" t="s">
        <v>3314</v>
      </c>
      <c r="C933" s="6" t="s">
        <v>3315</v>
      </c>
      <c r="F933" s="13"/>
      <c r="G933" s="8">
        <v>410</v>
      </c>
      <c r="H933" s="21" t="s">
        <v>1898</v>
      </c>
      <c r="I933" s="9">
        <f t="shared" si="62"/>
        <v>75</v>
      </c>
      <c r="J933" s="9">
        <f t="shared" si="61"/>
        <v>3</v>
      </c>
      <c r="K933" s="10" t="str">
        <f t="shared" si="60"/>
        <v>S2R75B3</v>
      </c>
      <c r="L933" s="10" t="s">
        <v>1899</v>
      </c>
      <c r="M933" s="10">
        <f>IF(Table1[[#This Row],[ID ROW]]&lt;=12,Table1[[#This Row],[ID ROW]],Table1[[#This Row],[ID ROW]]+INT((Table1[[#This Row],[ID ROW]]-1)/12)*2)</f>
        <v>87</v>
      </c>
      <c r="N933" s="10" t="str">
        <f t="shared" si="63"/>
        <v>LSR87B3</v>
      </c>
      <c r="O933" s="10">
        <f>IF(Table1[[#This Row],[ID ROW]]&lt;=12,1,INT((Table1[[#This Row],[ID ROW]]-1)/12)+1)</f>
        <v>7</v>
      </c>
      <c r="P933" s="10">
        <f>Table1[[#This Row],[ID ROW]]-((Table1[[#This Row],[SECT]]-1)*12)</f>
        <v>3</v>
      </c>
    </row>
    <row r="934" spans="1:16" ht="15.75" customHeight="1" x14ac:dyDescent="0.25">
      <c r="A934" s="6" t="s">
        <v>264</v>
      </c>
      <c r="B934" s="6" t="s">
        <v>3316</v>
      </c>
      <c r="C934" s="6" t="s">
        <v>3317</v>
      </c>
      <c r="D934" s="6" t="s">
        <v>1674</v>
      </c>
      <c r="F934" s="7"/>
      <c r="G934" s="8">
        <v>411</v>
      </c>
      <c r="H934" s="21" t="s">
        <v>1898</v>
      </c>
      <c r="I934" s="9">
        <f t="shared" si="62"/>
        <v>75</v>
      </c>
      <c r="J934" s="9">
        <f t="shared" si="61"/>
        <v>4</v>
      </c>
      <c r="K934" s="10" t="str">
        <f t="shared" si="60"/>
        <v>S2R75B4</v>
      </c>
      <c r="L934" s="10" t="s">
        <v>1899</v>
      </c>
      <c r="M934" s="10">
        <f>IF(Table1[[#This Row],[ID ROW]]&lt;=12,Table1[[#This Row],[ID ROW]],Table1[[#This Row],[ID ROW]]+INT((Table1[[#This Row],[ID ROW]]-1)/12)*2)</f>
        <v>87</v>
      </c>
      <c r="N934" s="10" t="str">
        <f t="shared" si="63"/>
        <v>LSR87B4</v>
      </c>
      <c r="O934" s="10">
        <f>IF(Table1[[#This Row],[ID ROW]]&lt;=12,1,INT((Table1[[#This Row],[ID ROW]]-1)/12)+1)</f>
        <v>7</v>
      </c>
      <c r="P934" s="10">
        <f>Table1[[#This Row],[ID ROW]]-((Table1[[#This Row],[SECT]]-1)*12)</f>
        <v>3</v>
      </c>
    </row>
    <row r="935" spans="1:16" ht="15.75" customHeight="1" x14ac:dyDescent="0.3">
      <c r="A935" s="6" t="s">
        <v>3318</v>
      </c>
      <c r="B935" s="6" t="s">
        <v>3319</v>
      </c>
      <c r="C935" s="6" t="s">
        <v>3320</v>
      </c>
      <c r="D935" s="6" t="s">
        <v>264</v>
      </c>
      <c r="F935" s="13"/>
      <c r="G935" s="8">
        <v>412</v>
      </c>
      <c r="H935" s="21" t="s">
        <v>1898</v>
      </c>
      <c r="I935" s="9">
        <f t="shared" si="62"/>
        <v>75</v>
      </c>
      <c r="J935" s="9">
        <f t="shared" si="61"/>
        <v>5</v>
      </c>
      <c r="K935" s="10" t="str">
        <f t="shared" si="60"/>
        <v>S2R75B5</v>
      </c>
      <c r="L935" s="10" t="s">
        <v>1899</v>
      </c>
      <c r="M935" s="10">
        <f>IF(Table1[[#This Row],[ID ROW]]&lt;=12,Table1[[#This Row],[ID ROW]],Table1[[#This Row],[ID ROW]]+INT((Table1[[#This Row],[ID ROW]]-1)/12)*2)</f>
        <v>87</v>
      </c>
      <c r="N935" s="10" t="str">
        <f t="shared" si="63"/>
        <v>LSR87B5</v>
      </c>
      <c r="O935" s="10">
        <f>IF(Table1[[#This Row],[ID ROW]]&lt;=12,1,INT((Table1[[#This Row],[ID ROW]]-1)/12)+1)</f>
        <v>7</v>
      </c>
      <c r="P935" s="10">
        <f>Table1[[#This Row],[ID ROW]]-((Table1[[#This Row],[SECT]]-1)*12)</f>
        <v>3</v>
      </c>
    </row>
    <row r="936" spans="1:16" ht="15.75" customHeight="1" x14ac:dyDescent="0.3">
      <c r="A936" s="6" t="s">
        <v>165</v>
      </c>
      <c r="B936" s="6" t="s">
        <v>3321</v>
      </c>
      <c r="C936" s="6" t="s">
        <v>3322</v>
      </c>
      <c r="D936" s="6" t="s">
        <v>3323</v>
      </c>
      <c r="F936" s="26"/>
      <c r="G936" s="8">
        <v>413</v>
      </c>
      <c r="H936" s="21" t="s">
        <v>3324</v>
      </c>
      <c r="I936" s="9">
        <f t="shared" si="62"/>
        <v>75</v>
      </c>
      <c r="J936" s="9">
        <f t="shared" si="61"/>
        <v>6</v>
      </c>
      <c r="K936" s="10" t="str">
        <f t="shared" si="60"/>
        <v>S3R75B6</v>
      </c>
      <c r="L936" s="10" t="s">
        <v>1899</v>
      </c>
      <c r="M936" s="10">
        <f>IF(Table1[[#This Row],[ID ROW]]&lt;=12,Table1[[#This Row],[ID ROW]],Table1[[#This Row],[ID ROW]]+INT((Table1[[#This Row],[ID ROW]]-1)/12)*2)</f>
        <v>87</v>
      </c>
      <c r="N936" s="10" t="str">
        <f t="shared" si="63"/>
        <v>LSR87B6</v>
      </c>
      <c r="O936" s="10">
        <f>IF(Table1[[#This Row],[ID ROW]]&lt;=12,1,INT((Table1[[#This Row],[ID ROW]]-1)/12)+1)</f>
        <v>7</v>
      </c>
      <c r="P936" s="10">
        <f>Table1[[#This Row],[ID ROW]]-((Table1[[#This Row],[SECT]]-1)*12)</f>
        <v>3</v>
      </c>
    </row>
    <row r="937" spans="1:16" ht="15.75" customHeight="1" x14ac:dyDescent="0.3">
      <c r="A937" s="6" t="s">
        <v>3325</v>
      </c>
      <c r="B937" s="6" t="s">
        <v>3326</v>
      </c>
      <c r="C937" s="6" t="s">
        <v>3327</v>
      </c>
      <c r="D937" s="6" t="s">
        <v>3328</v>
      </c>
      <c r="F937" s="26"/>
      <c r="G937" s="8">
        <v>414</v>
      </c>
      <c r="H937" s="21" t="s">
        <v>3329</v>
      </c>
      <c r="I937" s="9">
        <f t="shared" si="62"/>
        <v>76</v>
      </c>
      <c r="J937" s="9">
        <f t="shared" si="61"/>
        <v>1</v>
      </c>
      <c r="K937" s="10" t="str">
        <f t="shared" si="60"/>
        <v>S4R76B1</v>
      </c>
      <c r="L937" s="10" t="s">
        <v>1899</v>
      </c>
      <c r="M937" s="10">
        <f>IF(Table1[[#This Row],[ID ROW]]&lt;=12,Table1[[#This Row],[ID ROW]],Table1[[#This Row],[ID ROW]]+INT((Table1[[#This Row],[ID ROW]]-1)/12)*2)</f>
        <v>88</v>
      </c>
      <c r="N937" s="10" t="str">
        <f t="shared" si="63"/>
        <v>LSR88B1</v>
      </c>
      <c r="O937" s="10">
        <f>IF(Table1[[#This Row],[ID ROW]]&lt;=12,1,INT((Table1[[#This Row],[ID ROW]]-1)/12)+1)</f>
        <v>7</v>
      </c>
      <c r="P937" s="10">
        <f>Table1[[#This Row],[ID ROW]]-((Table1[[#This Row],[SECT]]-1)*12)</f>
        <v>4</v>
      </c>
    </row>
    <row r="938" spans="1:16" ht="15.75" customHeight="1" x14ac:dyDescent="0.3">
      <c r="A938" s="6" t="s">
        <v>165</v>
      </c>
      <c r="B938" s="6" t="s">
        <v>3330</v>
      </c>
      <c r="C938" s="6" t="s">
        <v>3331</v>
      </c>
      <c r="D938" s="6" t="s">
        <v>3276</v>
      </c>
      <c r="F938" s="26"/>
      <c r="G938" s="8">
        <v>415</v>
      </c>
      <c r="H938" s="21" t="s">
        <v>3332</v>
      </c>
      <c r="I938" s="9">
        <f t="shared" si="62"/>
        <v>76</v>
      </c>
      <c r="J938" s="9">
        <f t="shared" si="61"/>
        <v>2</v>
      </c>
      <c r="K938" s="10" t="str">
        <f t="shared" si="60"/>
        <v>S5R76B2</v>
      </c>
      <c r="L938" s="10" t="s">
        <v>1899</v>
      </c>
      <c r="M938" s="10">
        <f>IF(Table1[[#This Row],[ID ROW]]&lt;=12,Table1[[#This Row],[ID ROW]],Table1[[#This Row],[ID ROW]]+INT((Table1[[#This Row],[ID ROW]]-1)/12)*2)</f>
        <v>88</v>
      </c>
      <c r="N938" s="10" t="str">
        <f t="shared" si="63"/>
        <v>LSR88B2</v>
      </c>
      <c r="O938" s="10">
        <f>IF(Table1[[#This Row],[ID ROW]]&lt;=12,1,INT((Table1[[#This Row],[ID ROW]]-1)/12)+1)</f>
        <v>7</v>
      </c>
      <c r="P938" s="10">
        <f>Table1[[#This Row],[ID ROW]]-((Table1[[#This Row],[SECT]]-1)*12)</f>
        <v>4</v>
      </c>
    </row>
    <row r="939" spans="1:16" ht="15.75" customHeight="1" x14ac:dyDescent="0.3">
      <c r="A939" s="6" t="s">
        <v>3333</v>
      </c>
      <c r="B939" s="6" t="s">
        <v>1549</v>
      </c>
      <c r="C939" s="6" t="s">
        <v>3334</v>
      </c>
      <c r="D939" s="6" t="s">
        <v>67</v>
      </c>
      <c r="F939" s="26"/>
      <c r="G939" s="8">
        <v>416</v>
      </c>
      <c r="H939" s="21" t="s">
        <v>3335</v>
      </c>
      <c r="I939" s="9">
        <f t="shared" si="62"/>
        <v>76</v>
      </c>
      <c r="J939" s="9">
        <f t="shared" si="61"/>
        <v>3</v>
      </c>
      <c r="K939" s="10" t="str">
        <f t="shared" si="60"/>
        <v>S6R76B3</v>
      </c>
      <c r="L939" s="10" t="s">
        <v>1899</v>
      </c>
      <c r="M939" s="10">
        <f>IF(Table1[[#This Row],[ID ROW]]&lt;=12,Table1[[#This Row],[ID ROW]],Table1[[#This Row],[ID ROW]]+INT((Table1[[#This Row],[ID ROW]]-1)/12)*2)</f>
        <v>88</v>
      </c>
      <c r="N939" s="10" t="str">
        <f t="shared" si="63"/>
        <v>LSR88B3</v>
      </c>
      <c r="O939" s="10">
        <f>IF(Table1[[#This Row],[ID ROW]]&lt;=12,1,INT((Table1[[#This Row],[ID ROW]]-1)/12)+1)</f>
        <v>7</v>
      </c>
      <c r="P939" s="10">
        <f>Table1[[#This Row],[ID ROW]]-((Table1[[#This Row],[SECT]]-1)*12)</f>
        <v>4</v>
      </c>
    </row>
    <row r="940" spans="1:16" ht="15.75" customHeight="1" x14ac:dyDescent="0.3">
      <c r="B940" s="6" t="s">
        <v>3336</v>
      </c>
      <c r="C940" s="6" t="s">
        <v>125</v>
      </c>
      <c r="F940" s="26"/>
      <c r="G940" s="8">
        <v>417</v>
      </c>
      <c r="H940" s="21" t="s">
        <v>3337</v>
      </c>
      <c r="I940" s="9">
        <f t="shared" si="62"/>
        <v>76</v>
      </c>
      <c r="J940" s="9">
        <f t="shared" si="61"/>
        <v>4</v>
      </c>
      <c r="K940" s="10" t="str">
        <f t="shared" si="60"/>
        <v>S7R76B4</v>
      </c>
      <c r="L940" s="10" t="s">
        <v>1899</v>
      </c>
      <c r="M940" s="10">
        <f>IF(Table1[[#This Row],[ID ROW]]&lt;=12,Table1[[#This Row],[ID ROW]],Table1[[#This Row],[ID ROW]]+INT((Table1[[#This Row],[ID ROW]]-1)/12)*2)</f>
        <v>88</v>
      </c>
      <c r="N940" s="10" t="str">
        <f t="shared" si="63"/>
        <v>LSR88B4</v>
      </c>
      <c r="O940" s="10">
        <f>IF(Table1[[#This Row],[ID ROW]]&lt;=12,1,INT((Table1[[#This Row],[ID ROW]]-1)/12)+1)</f>
        <v>7</v>
      </c>
      <c r="P940" s="10">
        <f>Table1[[#This Row],[ID ROW]]-((Table1[[#This Row],[SECT]]-1)*12)</f>
        <v>4</v>
      </c>
    </row>
    <row r="941" spans="1:16" ht="15.75" customHeight="1" x14ac:dyDescent="0.25">
      <c r="A941" s="6" t="s">
        <v>165</v>
      </c>
      <c r="B941" s="6" t="s">
        <v>3338</v>
      </c>
      <c r="C941" s="6" t="s">
        <v>3339</v>
      </c>
      <c r="D941" s="6" t="s">
        <v>3340</v>
      </c>
      <c r="F941" s="7"/>
      <c r="G941" s="8">
        <v>418</v>
      </c>
      <c r="H941" s="21" t="s">
        <v>1898</v>
      </c>
      <c r="I941" s="9">
        <f t="shared" si="62"/>
        <v>76</v>
      </c>
      <c r="J941" s="9">
        <f t="shared" si="61"/>
        <v>5</v>
      </c>
      <c r="K941" s="10" t="str">
        <f t="shared" si="60"/>
        <v>S2R76B5</v>
      </c>
      <c r="L941" s="10" t="s">
        <v>1899</v>
      </c>
      <c r="M941" s="10">
        <f>IF(Table1[[#This Row],[ID ROW]]&lt;=12,Table1[[#This Row],[ID ROW]],Table1[[#This Row],[ID ROW]]+INT((Table1[[#This Row],[ID ROW]]-1)/12)*2)</f>
        <v>88</v>
      </c>
      <c r="N941" s="10" t="str">
        <f t="shared" si="63"/>
        <v>LSR88B5</v>
      </c>
      <c r="O941" s="10">
        <f>IF(Table1[[#This Row],[ID ROW]]&lt;=12,1,INT((Table1[[#This Row],[ID ROW]]-1)/12)+1)</f>
        <v>7</v>
      </c>
      <c r="P941" s="10">
        <f>Table1[[#This Row],[ID ROW]]-((Table1[[#This Row],[SECT]]-1)*12)</f>
        <v>4</v>
      </c>
    </row>
    <row r="942" spans="1:16" ht="15.75" customHeight="1" x14ac:dyDescent="0.3">
      <c r="A942" s="6" t="s">
        <v>3341</v>
      </c>
      <c r="B942" s="6" t="s">
        <v>3314</v>
      </c>
      <c r="C942" s="6" t="s">
        <v>67</v>
      </c>
      <c r="D942" s="6" t="s">
        <v>925</v>
      </c>
      <c r="F942" s="13"/>
      <c r="G942" s="8">
        <v>419</v>
      </c>
      <c r="H942" s="21" t="s">
        <v>1898</v>
      </c>
      <c r="I942" s="9">
        <f t="shared" si="62"/>
        <v>77</v>
      </c>
      <c r="J942" s="9">
        <f t="shared" si="61"/>
        <v>1</v>
      </c>
      <c r="K942" s="10" t="str">
        <f t="shared" si="60"/>
        <v>S2R77B1</v>
      </c>
      <c r="L942" s="10" t="s">
        <v>1899</v>
      </c>
      <c r="M942" s="10">
        <f>IF(Table1[[#This Row],[ID ROW]]&lt;=12,Table1[[#This Row],[ID ROW]],Table1[[#This Row],[ID ROW]]+INT((Table1[[#This Row],[ID ROW]]-1)/12)*2)</f>
        <v>89</v>
      </c>
      <c r="N942" s="10" t="str">
        <f t="shared" si="63"/>
        <v>LSR89B1</v>
      </c>
      <c r="O942" s="10">
        <f>IF(Table1[[#This Row],[ID ROW]]&lt;=12,1,INT((Table1[[#This Row],[ID ROW]]-1)/12)+1)</f>
        <v>7</v>
      </c>
      <c r="P942" s="10">
        <f>Table1[[#This Row],[ID ROW]]-((Table1[[#This Row],[SECT]]-1)*12)</f>
        <v>5</v>
      </c>
    </row>
    <row r="943" spans="1:16" ht="15.75" customHeight="1" x14ac:dyDescent="0.25">
      <c r="A943" s="6" t="s">
        <v>3342</v>
      </c>
      <c r="B943" s="6" t="s">
        <v>338</v>
      </c>
      <c r="C943" s="6" t="s">
        <v>3343</v>
      </c>
      <c r="D943" s="6" t="s">
        <v>3344</v>
      </c>
      <c r="F943" s="7"/>
      <c r="G943" s="8">
        <v>420</v>
      </c>
      <c r="H943" s="21" t="s">
        <v>1898</v>
      </c>
      <c r="I943" s="9">
        <f t="shared" si="62"/>
        <v>77</v>
      </c>
      <c r="J943" s="9">
        <f t="shared" si="61"/>
        <v>2</v>
      </c>
      <c r="K943" s="10" t="str">
        <f t="shared" si="60"/>
        <v>S2R77B2</v>
      </c>
      <c r="L943" s="10" t="s">
        <v>1899</v>
      </c>
      <c r="M943" s="10">
        <f>IF(Table1[[#This Row],[ID ROW]]&lt;=12,Table1[[#This Row],[ID ROW]],Table1[[#This Row],[ID ROW]]+INT((Table1[[#This Row],[ID ROW]]-1)/12)*2)</f>
        <v>89</v>
      </c>
      <c r="N943" s="10" t="str">
        <f t="shared" si="63"/>
        <v>LSR89B2</v>
      </c>
      <c r="O943" s="10">
        <f>IF(Table1[[#This Row],[ID ROW]]&lt;=12,1,INT((Table1[[#This Row],[ID ROW]]-1)/12)+1)</f>
        <v>7</v>
      </c>
      <c r="P943" s="10">
        <f>Table1[[#This Row],[ID ROW]]-((Table1[[#This Row],[SECT]]-1)*12)</f>
        <v>5</v>
      </c>
    </row>
    <row r="944" spans="1:16" ht="15.75" customHeight="1" x14ac:dyDescent="0.3">
      <c r="A944" s="6" t="s">
        <v>3345</v>
      </c>
      <c r="B944" s="6" t="s">
        <v>3346</v>
      </c>
      <c r="C944" s="6" t="s">
        <v>3347</v>
      </c>
      <c r="D944" s="6" t="s">
        <v>3348</v>
      </c>
      <c r="F944" s="13"/>
      <c r="G944" s="8">
        <v>421</v>
      </c>
      <c r="H944" s="21" t="s">
        <v>1898</v>
      </c>
      <c r="I944" s="9">
        <f t="shared" si="62"/>
        <v>77</v>
      </c>
      <c r="J944" s="9">
        <f t="shared" si="61"/>
        <v>3</v>
      </c>
      <c r="K944" s="10" t="str">
        <f t="shared" si="60"/>
        <v>S2R77B3</v>
      </c>
      <c r="L944" s="10" t="s">
        <v>1899</v>
      </c>
      <c r="M944" s="10">
        <f>IF(Table1[[#This Row],[ID ROW]]&lt;=12,Table1[[#This Row],[ID ROW]],Table1[[#This Row],[ID ROW]]+INT((Table1[[#This Row],[ID ROW]]-1)/12)*2)</f>
        <v>89</v>
      </c>
      <c r="N944" s="10" t="str">
        <f t="shared" si="63"/>
        <v>LSR89B3</v>
      </c>
      <c r="O944" s="10">
        <f>IF(Table1[[#This Row],[ID ROW]]&lt;=12,1,INT((Table1[[#This Row],[ID ROW]]-1)/12)+1)</f>
        <v>7</v>
      </c>
      <c r="P944" s="10">
        <f>Table1[[#This Row],[ID ROW]]-((Table1[[#This Row],[SECT]]-1)*12)</f>
        <v>5</v>
      </c>
    </row>
    <row r="945" spans="1:16" ht="15.75" customHeight="1" x14ac:dyDescent="0.25">
      <c r="A945" s="6" t="s">
        <v>3349</v>
      </c>
      <c r="B945" s="6" t="s">
        <v>3350</v>
      </c>
      <c r="C945" s="6" t="s">
        <v>3351</v>
      </c>
      <c r="D945" s="6" t="s">
        <v>3352</v>
      </c>
      <c r="F945" s="7"/>
      <c r="G945" s="8">
        <v>422</v>
      </c>
      <c r="H945" s="21" t="s">
        <v>1898</v>
      </c>
      <c r="I945" s="9">
        <f t="shared" si="62"/>
        <v>77</v>
      </c>
      <c r="J945" s="9">
        <f t="shared" si="61"/>
        <v>4</v>
      </c>
      <c r="K945" s="10" t="str">
        <f t="shared" si="60"/>
        <v>S2R77B4</v>
      </c>
      <c r="L945" s="10" t="s">
        <v>1899</v>
      </c>
      <c r="M945" s="10">
        <f>IF(Table1[[#This Row],[ID ROW]]&lt;=12,Table1[[#This Row],[ID ROW]],Table1[[#This Row],[ID ROW]]+INT((Table1[[#This Row],[ID ROW]]-1)/12)*2)</f>
        <v>89</v>
      </c>
      <c r="N945" s="10" t="str">
        <f t="shared" si="63"/>
        <v>LSR89B4</v>
      </c>
      <c r="O945" s="10">
        <f>IF(Table1[[#This Row],[ID ROW]]&lt;=12,1,INT((Table1[[#This Row],[ID ROW]]-1)/12)+1)</f>
        <v>7</v>
      </c>
      <c r="P945" s="10">
        <f>Table1[[#This Row],[ID ROW]]-((Table1[[#This Row],[SECT]]-1)*12)</f>
        <v>5</v>
      </c>
    </row>
    <row r="946" spans="1:16" ht="15.75" customHeight="1" x14ac:dyDescent="0.3">
      <c r="A946" s="6" t="s">
        <v>3353</v>
      </c>
      <c r="B946" s="6" t="s">
        <v>1177</v>
      </c>
      <c r="C946" s="6" t="s">
        <v>3354</v>
      </c>
      <c r="D946" s="6" t="s">
        <v>3159</v>
      </c>
      <c r="F946" s="13"/>
      <c r="G946" s="8">
        <v>423</v>
      </c>
      <c r="H946" s="21" t="s">
        <v>1898</v>
      </c>
      <c r="I946" s="9">
        <f t="shared" si="62"/>
        <v>77</v>
      </c>
      <c r="J946" s="9">
        <f t="shared" si="61"/>
        <v>5</v>
      </c>
      <c r="K946" s="10" t="str">
        <f t="shared" si="60"/>
        <v>S2R77B5</v>
      </c>
      <c r="L946" s="10" t="s">
        <v>1899</v>
      </c>
      <c r="M946" s="10">
        <f>IF(Table1[[#This Row],[ID ROW]]&lt;=12,Table1[[#This Row],[ID ROW]],Table1[[#This Row],[ID ROW]]+INT((Table1[[#This Row],[ID ROW]]-1)/12)*2)</f>
        <v>89</v>
      </c>
      <c r="N946" s="10" t="str">
        <f t="shared" si="63"/>
        <v>LSR89B5</v>
      </c>
      <c r="O946" s="10">
        <f>IF(Table1[[#This Row],[ID ROW]]&lt;=12,1,INT((Table1[[#This Row],[ID ROW]]-1)/12)+1)</f>
        <v>7</v>
      </c>
      <c r="P946" s="10">
        <f>Table1[[#This Row],[ID ROW]]-((Table1[[#This Row],[SECT]]-1)*12)</f>
        <v>5</v>
      </c>
    </row>
    <row r="947" spans="1:16" ht="15.75" customHeight="1" x14ac:dyDescent="0.25">
      <c r="A947" s="6" t="s">
        <v>3355</v>
      </c>
      <c r="B947" s="6" t="s">
        <v>3356</v>
      </c>
      <c r="C947" s="6" t="s">
        <v>1379</v>
      </c>
      <c r="D947" s="6" t="s">
        <v>3357</v>
      </c>
      <c r="F947" s="7"/>
      <c r="G947" s="8">
        <v>424</v>
      </c>
      <c r="H947" s="21" t="s">
        <v>1898</v>
      </c>
      <c r="I947" s="9">
        <f t="shared" si="62"/>
        <v>77</v>
      </c>
      <c r="J947" s="9">
        <f t="shared" si="61"/>
        <v>6</v>
      </c>
      <c r="K947" s="10" t="str">
        <f t="shared" si="60"/>
        <v>S2R77B6</v>
      </c>
      <c r="L947" s="10" t="s">
        <v>1899</v>
      </c>
      <c r="M947" s="10">
        <f>IF(Table1[[#This Row],[ID ROW]]&lt;=12,Table1[[#This Row],[ID ROW]],Table1[[#This Row],[ID ROW]]+INT((Table1[[#This Row],[ID ROW]]-1)/12)*2)</f>
        <v>89</v>
      </c>
      <c r="N947" s="10" t="str">
        <f t="shared" si="63"/>
        <v>LSR89B6</v>
      </c>
      <c r="O947" s="10">
        <f>IF(Table1[[#This Row],[ID ROW]]&lt;=12,1,INT((Table1[[#This Row],[ID ROW]]-1)/12)+1)</f>
        <v>7</v>
      </c>
      <c r="P947" s="10">
        <f>Table1[[#This Row],[ID ROW]]-((Table1[[#This Row],[SECT]]-1)*12)</f>
        <v>5</v>
      </c>
    </row>
    <row r="948" spans="1:16" ht="15.75" customHeight="1" x14ac:dyDescent="0.3">
      <c r="A948" s="6" t="s">
        <v>3358</v>
      </c>
      <c r="B948" s="6" t="s">
        <v>3359</v>
      </c>
      <c r="C948" s="6" t="s">
        <v>2431</v>
      </c>
      <c r="F948" s="13"/>
      <c r="G948" s="8">
        <v>425</v>
      </c>
      <c r="H948" s="21" t="s">
        <v>1898</v>
      </c>
      <c r="I948" s="9">
        <f t="shared" si="62"/>
        <v>78</v>
      </c>
      <c r="J948" s="9">
        <f t="shared" si="61"/>
        <v>1</v>
      </c>
      <c r="K948" s="10" t="str">
        <f t="shared" si="60"/>
        <v>S2R78B1</v>
      </c>
      <c r="L948" s="10" t="s">
        <v>1899</v>
      </c>
      <c r="M948" s="10">
        <f>IF(Table1[[#This Row],[ID ROW]]&lt;=12,Table1[[#This Row],[ID ROW]],Table1[[#This Row],[ID ROW]]+INT((Table1[[#This Row],[ID ROW]]-1)/12)*2)</f>
        <v>90</v>
      </c>
      <c r="N948" s="10" t="str">
        <f t="shared" si="63"/>
        <v>LSR90B1</v>
      </c>
      <c r="O948" s="10">
        <f>IF(Table1[[#This Row],[ID ROW]]&lt;=12,1,INT((Table1[[#This Row],[ID ROW]]-1)/12)+1)</f>
        <v>7</v>
      </c>
      <c r="P948" s="10">
        <f>Table1[[#This Row],[ID ROW]]-((Table1[[#This Row],[SECT]]-1)*12)</f>
        <v>6</v>
      </c>
    </row>
    <row r="949" spans="1:16" ht="15.75" customHeight="1" x14ac:dyDescent="0.25">
      <c r="A949" s="6" t="s">
        <v>3360</v>
      </c>
      <c r="B949" s="6" t="s">
        <v>3361</v>
      </c>
      <c r="C949" s="6" t="s">
        <v>3362</v>
      </c>
      <c r="D949" s="6" t="s">
        <v>3363</v>
      </c>
      <c r="F949" s="7"/>
      <c r="G949" s="8">
        <v>426</v>
      </c>
      <c r="H949" s="21" t="s">
        <v>1898</v>
      </c>
      <c r="I949" s="9">
        <f t="shared" si="62"/>
        <v>78</v>
      </c>
      <c r="J949" s="9">
        <f t="shared" si="61"/>
        <v>2</v>
      </c>
      <c r="K949" s="10" t="str">
        <f t="shared" si="60"/>
        <v>S2R78B2</v>
      </c>
      <c r="L949" s="10" t="s">
        <v>1899</v>
      </c>
      <c r="M949" s="10">
        <f>IF(Table1[[#This Row],[ID ROW]]&lt;=12,Table1[[#This Row],[ID ROW]],Table1[[#This Row],[ID ROW]]+INT((Table1[[#This Row],[ID ROW]]-1)/12)*2)</f>
        <v>90</v>
      </c>
      <c r="N949" s="10" t="str">
        <f t="shared" si="63"/>
        <v>LSR90B2</v>
      </c>
      <c r="O949" s="10">
        <f>IF(Table1[[#This Row],[ID ROW]]&lt;=12,1,INT((Table1[[#This Row],[ID ROW]]-1)/12)+1)</f>
        <v>7</v>
      </c>
      <c r="P949" s="10">
        <f>Table1[[#This Row],[ID ROW]]-((Table1[[#This Row],[SECT]]-1)*12)</f>
        <v>6</v>
      </c>
    </row>
    <row r="950" spans="1:16" ht="15.75" customHeight="1" x14ac:dyDescent="0.3">
      <c r="A950" s="6" t="s">
        <v>3364</v>
      </c>
      <c r="B950" s="6" t="s">
        <v>3365</v>
      </c>
      <c r="C950" s="6" t="s">
        <v>3366</v>
      </c>
      <c r="D950" s="6" t="s">
        <v>3367</v>
      </c>
      <c r="F950" s="13"/>
      <c r="G950" s="8">
        <v>427</v>
      </c>
      <c r="H950" s="21" t="s">
        <v>1898</v>
      </c>
      <c r="I950" s="9">
        <f t="shared" si="62"/>
        <v>78</v>
      </c>
      <c r="J950" s="9">
        <f t="shared" si="61"/>
        <v>3</v>
      </c>
      <c r="K950" s="10" t="str">
        <f t="shared" si="60"/>
        <v>S2R78B3</v>
      </c>
      <c r="L950" s="10" t="s">
        <v>1899</v>
      </c>
      <c r="M950" s="10">
        <f>IF(Table1[[#This Row],[ID ROW]]&lt;=12,Table1[[#This Row],[ID ROW]],Table1[[#This Row],[ID ROW]]+INT((Table1[[#This Row],[ID ROW]]-1)/12)*2)</f>
        <v>90</v>
      </c>
      <c r="N950" s="10" t="str">
        <f t="shared" si="63"/>
        <v>LSR90B3</v>
      </c>
      <c r="O950" s="10">
        <f>IF(Table1[[#This Row],[ID ROW]]&lt;=12,1,INT((Table1[[#This Row],[ID ROW]]-1)/12)+1)</f>
        <v>7</v>
      </c>
      <c r="P950" s="10">
        <f>Table1[[#This Row],[ID ROW]]-((Table1[[#This Row],[SECT]]-1)*12)</f>
        <v>6</v>
      </c>
    </row>
    <row r="951" spans="1:16" ht="15.75" customHeight="1" x14ac:dyDescent="0.25">
      <c r="A951" s="6" t="s">
        <v>542</v>
      </c>
      <c r="B951" s="6" t="s">
        <v>3368</v>
      </c>
      <c r="C951" s="6" t="s">
        <v>40</v>
      </c>
      <c r="F951" s="7"/>
      <c r="G951" s="8">
        <v>428</v>
      </c>
      <c r="H951" s="21" t="s">
        <v>1898</v>
      </c>
      <c r="I951" s="9">
        <f t="shared" si="62"/>
        <v>78</v>
      </c>
      <c r="J951" s="9">
        <f t="shared" si="61"/>
        <v>4</v>
      </c>
      <c r="K951" s="10" t="str">
        <f t="shared" si="60"/>
        <v>S2R78B4</v>
      </c>
      <c r="L951" s="10" t="s">
        <v>1899</v>
      </c>
      <c r="M951" s="10">
        <f>IF(Table1[[#This Row],[ID ROW]]&lt;=12,Table1[[#This Row],[ID ROW]],Table1[[#This Row],[ID ROW]]+INT((Table1[[#This Row],[ID ROW]]-1)/12)*2)</f>
        <v>90</v>
      </c>
      <c r="N951" s="10" t="str">
        <f t="shared" si="63"/>
        <v>LSR90B4</v>
      </c>
      <c r="O951" s="10">
        <f>IF(Table1[[#This Row],[ID ROW]]&lt;=12,1,INT((Table1[[#This Row],[ID ROW]]-1)/12)+1)</f>
        <v>7</v>
      </c>
      <c r="P951" s="10">
        <f>Table1[[#This Row],[ID ROW]]-((Table1[[#This Row],[SECT]]-1)*12)</f>
        <v>6</v>
      </c>
    </row>
    <row r="952" spans="1:16" ht="15.75" customHeight="1" x14ac:dyDescent="0.3">
      <c r="A952" s="6" t="s">
        <v>3369</v>
      </c>
      <c r="B952" s="6" t="s">
        <v>3370</v>
      </c>
      <c r="C952" s="6" t="s">
        <v>3371</v>
      </c>
      <c r="D952" s="6" t="s">
        <v>3372</v>
      </c>
      <c r="F952" s="13"/>
      <c r="G952" s="8">
        <v>429</v>
      </c>
      <c r="H952" s="21" t="s">
        <v>1898</v>
      </c>
      <c r="I952" s="9">
        <f t="shared" si="62"/>
        <v>78</v>
      </c>
      <c r="J952" s="9">
        <f t="shared" si="61"/>
        <v>5</v>
      </c>
      <c r="K952" s="10" t="str">
        <f t="shared" si="60"/>
        <v>S2R78B5</v>
      </c>
      <c r="L952" s="10" t="s">
        <v>1899</v>
      </c>
      <c r="M952" s="10">
        <f>IF(Table1[[#This Row],[ID ROW]]&lt;=12,Table1[[#This Row],[ID ROW]],Table1[[#This Row],[ID ROW]]+INT((Table1[[#This Row],[ID ROW]]-1)/12)*2)</f>
        <v>90</v>
      </c>
      <c r="N952" s="10" t="str">
        <f t="shared" si="63"/>
        <v>LSR90B5</v>
      </c>
      <c r="O952" s="10">
        <f>IF(Table1[[#This Row],[ID ROW]]&lt;=12,1,INT((Table1[[#This Row],[ID ROW]]-1)/12)+1)</f>
        <v>7</v>
      </c>
      <c r="P952" s="10">
        <f>Table1[[#This Row],[ID ROW]]-((Table1[[#This Row],[SECT]]-1)*12)</f>
        <v>6</v>
      </c>
    </row>
    <row r="953" spans="1:16" ht="15.75" customHeight="1" x14ac:dyDescent="0.3">
      <c r="A953" s="6" t="s">
        <v>165</v>
      </c>
      <c r="B953" s="6" t="s">
        <v>3373</v>
      </c>
      <c r="C953" s="6" t="s">
        <v>3374</v>
      </c>
      <c r="D953" s="6" t="s">
        <v>1282</v>
      </c>
      <c r="F953" s="26"/>
      <c r="G953" s="8">
        <v>430</v>
      </c>
      <c r="H953" s="21" t="s">
        <v>1898</v>
      </c>
      <c r="I953" s="9">
        <f t="shared" si="62"/>
        <v>79</v>
      </c>
      <c r="J953" s="9">
        <f t="shared" si="61"/>
        <v>1</v>
      </c>
      <c r="K953" s="10" t="str">
        <f t="shared" si="60"/>
        <v>S2R79B1</v>
      </c>
      <c r="L953" s="10" t="s">
        <v>1899</v>
      </c>
      <c r="M953" s="10">
        <f>IF(Table1[[#This Row],[ID ROW]]&lt;=12,Table1[[#This Row],[ID ROW]],Table1[[#This Row],[ID ROW]]+INT((Table1[[#This Row],[ID ROW]]-1)/12)*2)</f>
        <v>91</v>
      </c>
      <c r="N953" s="10" t="str">
        <f t="shared" si="63"/>
        <v>LSR91B1</v>
      </c>
      <c r="O953" s="10">
        <f>IF(Table1[[#This Row],[ID ROW]]&lt;=12,1,INT((Table1[[#This Row],[ID ROW]]-1)/12)+1)</f>
        <v>7</v>
      </c>
      <c r="P953" s="10">
        <f>Table1[[#This Row],[ID ROW]]-((Table1[[#This Row],[SECT]]-1)*12)</f>
        <v>7</v>
      </c>
    </row>
    <row r="954" spans="1:16" ht="15.75" customHeight="1" x14ac:dyDescent="0.3">
      <c r="A954" s="6" t="s">
        <v>43</v>
      </c>
      <c r="B954" s="6" t="s">
        <v>1871</v>
      </c>
      <c r="C954" s="6" t="s">
        <v>3375</v>
      </c>
      <c r="D954" s="6" t="s">
        <v>1282</v>
      </c>
      <c r="F954" s="26"/>
      <c r="G954" s="8">
        <v>431</v>
      </c>
      <c r="H954" s="21" t="s">
        <v>1898</v>
      </c>
      <c r="I954" s="9">
        <f t="shared" si="62"/>
        <v>79</v>
      </c>
      <c r="J954" s="9">
        <f t="shared" si="61"/>
        <v>2</v>
      </c>
      <c r="K954" s="10" t="str">
        <f t="shared" si="60"/>
        <v>S2R79B2</v>
      </c>
      <c r="L954" s="10" t="s">
        <v>1899</v>
      </c>
      <c r="M954" s="10">
        <f>IF(Table1[[#This Row],[ID ROW]]&lt;=12,Table1[[#This Row],[ID ROW]],Table1[[#This Row],[ID ROW]]+INT((Table1[[#This Row],[ID ROW]]-1)/12)*2)</f>
        <v>91</v>
      </c>
      <c r="N954" s="10" t="str">
        <f t="shared" si="63"/>
        <v>LSR91B2</v>
      </c>
      <c r="O954" s="10">
        <f>IF(Table1[[#This Row],[ID ROW]]&lt;=12,1,INT((Table1[[#This Row],[ID ROW]]-1)/12)+1)</f>
        <v>7</v>
      </c>
      <c r="P954" s="10">
        <f>Table1[[#This Row],[ID ROW]]-((Table1[[#This Row],[SECT]]-1)*12)</f>
        <v>7</v>
      </c>
    </row>
    <row r="955" spans="1:16" ht="15.75" customHeight="1" x14ac:dyDescent="0.3">
      <c r="A955" s="6" t="s">
        <v>165</v>
      </c>
      <c r="B955" s="6" t="s">
        <v>3376</v>
      </c>
      <c r="C955" s="6" t="s">
        <v>1394</v>
      </c>
      <c r="F955" s="26"/>
      <c r="G955" s="8">
        <v>432</v>
      </c>
      <c r="H955" s="21" t="s">
        <v>1898</v>
      </c>
      <c r="I955" s="9">
        <f t="shared" si="62"/>
        <v>79</v>
      </c>
      <c r="J955" s="9">
        <f t="shared" si="61"/>
        <v>3</v>
      </c>
      <c r="K955" s="10" t="str">
        <f t="shared" si="60"/>
        <v>S2R79B3</v>
      </c>
      <c r="L955" s="10" t="s">
        <v>1899</v>
      </c>
      <c r="M955" s="10">
        <f>IF(Table1[[#This Row],[ID ROW]]&lt;=12,Table1[[#This Row],[ID ROW]],Table1[[#This Row],[ID ROW]]+INT((Table1[[#This Row],[ID ROW]]-1)/12)*2)</f>
        <v>91</v>
      </c>
      <c r="N955" s="10" t="str">
        <f t="shared" si="63"/>
        <v>LSR91B3</v>
      </c>
      <c r="O955" s="10">
        <f>IF(Table1[[#This Row],[ID ROW]]&lt;=12,1,INT((Table1[[#This Row],[ID ROW]]-1)/12)+1)</f>
        <v>7</v>
      </c>
      <c r="P955" s="10">
        <f>Table1[[#This Row],[ID ROW]]-((Table1[[#This Row],[SECT]]-1)*12)</f>
        <v>7</v>
      </c>
    </row>
    <row r="956" spans="1:16" ht="15.75" customHeight="1" x14ac:dyDescent="0.3">
      <c r="A956" s="6" t="s">
        <v>3377</v>
      </c>
      <c r="B956" s="6" t="s">
        <v>1378</v>
      </c>
      <c r="C956" s="6" t="s">
        <v>67</v>
      </c>
      <c r="D956" s="6" t="s">
        <v>3378</v>
      </c>
      <c r="F956" s="26"/>
      <c r="G956" s="8">
        <v>433</v>
      </c>
      <c r="H956" s="21" t="s">
        <v>1898</v>
      </c>
      <c r="I956" s="9">
        <f t="shared" si="62"/>
        <v>79</v>
      </c>
      <c r="J956" s="9">
        <f t="shared" si="61"/>
        <v>4</v>
      </c>
      <c r="K956" s="10" t="str">
        <f t="shared" si="60"/>
        <v>S2R79B4</v>
      </c>
      <c r="L956" s="10" t="s">
        <v>1899</v>
      </c>
      <c r="M956" s="10">
        <f>IF(Table1[[#This Row],[ID ROW]]&lt;=12,Table1[[#This Row],[ID ROW]],Table1[[#This Row],[ID ROW]]+INT((Table1[[#This Row],[ID ROW]]-1)/12)*2)</f>
        <v>91</v>
      </c>
      <c r="N956" s="10" t="str">
        <f t="shared" si="63"/>
        <v>LSR91B4</v>
      </c>
      <c r="O956" s="10">
        <f>IF(Table1[[#This Row],[ID ROW]]&lt;=12,1,INT((Table1[[#This Row],[ID ROW]]-1)/12)+1)</f>
        <v>7</v>
      </c>
      <c r="P956" s="10">
        <f>Table1[[#This Row],[ID ROW]]-((Table1[[#This Row],[SECT]]-1)*12)</f>
        <v>7</v>
      </c>
    </row>
    <row r="957" spans="1:16" ht="15.75" customHeight="1" x14ac:dyDescent="0.3">
      <c r="A957" s="6" t="s">
        <v>3379</v>
      </c>
      <c r="B957" s="6" t="s">
        <v>1464</v>
      </c>
      <c r="C957" s="6" t="s">
        <v>3380</v>
      </c>
      <c r="F957" s="26"/>
      <c r="G957" s="8">
        <v>434</v>
      </c>
      <c r="H957" s="21" t="s">
        <v>1898</v>
      </c>
      <c r="I957" s="9">
        <f t="shared" si="62"/>
        <v>79</v>
      </c>
      <c r="J957" s="9">
        <f t="shared" si="61"/>
        <v>5</v>
      </c>
      <c r="K957" s="10" t="str">
        <f t="shared" si="60"/>
        <v>S2R79B5</v>
      </c>
      <c r="L957" s="10" t="s">
        <v>1899</v>
      </c>
      <c r="M957" s="10">
        <f>IF(Table1[[#This Row],[ID ROW]]&lt;=12,Table1[[#This Row],[ID ROW]],Table1[[#This Row],[ID ROW]]+INT((Table1[[#This Row],[ID ROW]]-1)/12)*2)</f>
        <v>91</v>
      </c>
      <c r="N957" s="10" t="str">
        <f t="shared" si="63"/>
        <v>LSR91B5</v>
      </c>
      <c r="O957" s="10">
        <f>IF(Table1[[#This Row],[ID ROW]]&lt;=12,1,INT((Table1[[#This Row],[ID ROW]]-1)/12)+1)</f>
        <v>7</v>
      </c>
      <c r="P957" s="10">
        <f>Table1[[#This Row],[ID ROW]]-((Table1[[#This Row],[SECT]]-1)*12)</f>
        <v>7</v>
      </c>
    </row>
    <row r="958" spans="1:16" ht="15.75" customHeight="1" x14ac:dyDescent="0.3">
      <c r="A958" s="6" t="s">
        <v>3381</v>
      </c>
      <c r="B958" s="6" t="s">
        <v>3382</v>
      </c>
      <c r="C958" s="6" t="s">
        <v>3383</v>
      </c>
      <c r="D958" s="6" t="s">
        <v>3384</v>
      </c>
      <c r="F958" s="26"/>
      <c r="G958" s="8">
        <v>435</v>
      </c>
      <c r="H958" s="21" t="s">
        <v>1898</v>
      </c>
      <c r="I958" s="9">
        <f t="shared" si="62"/>
        <v>79</v>
      </c>
      <c r="J958" s="9">
        <f t="shared" si="61"/>
        <v>6</v>
      </c>
      <c r="K958" s="10" t="str">
        <f t="shared" si="60"/>
        <v>S2R79B6</v>
      </c>
      <c r="L958" s="10" t="s">
        <v>1899</v>
      </c>
      <c r="M958" s="10">
        <f>IF(Table1[[#This Row],[ID ROW]]&lt;=12,Table1[[#This Row],[ID ROW]],Table1[[#This Row],[ID ROW]]+INT((Table1[[#This Row],[ID ROW]]-1)/12)*2)</f>
        <v>91</v>
      </c>
      <c r="N958" s="10" t="str">
        <f t="shared" si="63"/>
        <v>LSR91B6</v>
      </c>
      <c r="O958" s="10">
        <f>IF(Table1[[#This Row],[ID ROW]]&lt;=12,1,INT((Table1[[#This Row],[ID ROW]]-1)/12)+1)</f>
        <v>7</v>
      </c>
      <c r="P958" s="10">
        <f>Table1[[#This Row],[ID ROW]]-((Table1[[#This Row],[SECT]]-1)*12)</f>
        <v>7</v>
      </c>
    </row>
    <row r="959" spans="1:16" ht="15.75" customHeight="1" x14ac:dyDescent="0.3">
      <c r="A959" s="6" t="s">
        <v>3385</v>
      </c>
      <c r="C959" s="6" t="s">
        <v>3386</v>
      </c>
      <c r="D959" s="6" t="s">
        <v>3387</v>
      </c>
      <c r="F959" s="26"/>
      <c r="G959" s="8">
        <v>436</v>
      </c>
      <c r="H959" s="21" t="s">
        <v>1898</v>
      </c>
      <c r="I959" s="9">
        <f t="shared" si="62"/>
        <v>80</v>
      </c>
      <c r="J959" s="9">
        <f t="shared" si="61"/>
        <v>1</v>
      </c>
      <c r="K959" s="10" t="str">
        <f t="shared" si="60"/>
        <v>S2R80B1</v>
      </c>
      <c r="L959" s="10" t="s">
        <v>1899</v>
      </c>
      <c r="M959" s="10">
        <f>IF(Table1[[#This Row],[ID ROW]]&lt;=12,Table1[[#This Row],[ID ROW]],Table1[[#This Row],[ID ROW]]+INT((Table1[[#This Row],[ID ROW]]-1)/12)*2)</f>
        <v>92</v>
      </c>
      <c r="N959" s="10" t="str">
        <f t="shared" si="63"/>
        <v>LSR92B1</v>
      </c>
      <c r="O959" s="10">
        <f>IF(Table1[[#This Row],[ID ROW]]&lt;=12,1,INT((Table1[[#This Row],[ID ROW]]-1)/12)+1)</f>
        <v>7</v>
      </c>
      <c r="P959" s="10">
        <f>Table1[[#This Row],[ID ROW]]-((Table1[[#This Row],[SECT]]-1)*12)</f>
        <v>8</v>
      </c>
    </row>
    <row r="960" spans="1:16" ht="15.75" customHeight="1" x14ac:dyDescent="0.3">
      <c r="A960" s="6" t="s">
        <v>3388</v>
      </c>
      <c r="B960" s="6" t="s">
        <v>1873</v>
      </c>
      <c r="D960" s="6" t="s">
        <v>1379</v>
      </c>
      <c r="F960" s="26"/>
      <c r="G960" s="8">
        <v>437</v>
      </c>
      <c r="H960" s="21" t="s">
        <v>1898</v>
      </c>
      <c r="I960" s="9">
        <f t="shared" si="62"/>
        <v>80</v>
      </c>
      <c r="J960" s="9">
        <f t="shared" si="61"/>
        <v>2</v>
      </c>
      <c r="K960" s="10" t="str">
        <f t="shared" si="60"/>
        <v>S2R80B2</v>
      </c>
      <c r="L960" s="10" t="s">
        <v>1899</v>
      </c>
      <c r="M960" s="10">
        <f>IF(Table1[[#This Row],[ID ROW]]&lt;=12,Table1[[#This Row],[ID ROW]],Table1[[#This Row],[ID ROW]]+INT((Table1[[#This Row],[ID ROW]]-1)/12)*2)</f>
        <v>92</v>
      </c>
      <c r="N960" s="10" t="str">
        <f t="shared" si="63"/>
        <v>LSR92B2</v>
      </c>
      <c r="O960" s="10">
        <f>IF(Table1[[#This Row],[ID ROW]]&lt;=12,1,INT((Table1[[#This Row],[ID ROW]]-1)/12)+1)</f>
        <v>7</v>
      </c>
      <c r="P960" s="10">
        <f>Table1[[#This Row],[ID ROW]]-((Table1[[#This Row],[SECT]]-1)*12)</f>
        <v>8</v>
      </c>
    </row>
    <row r="961" spans="1:16" ht="15.75" customHeight="1" x14ac:dyDescent="0.3">
      <c r="A961" s="6" t="s">
        <v>1888</v>
      </c>
      <c r="B961" s="6" t="s">
        <v>2580</v>
      </c>
      <c r="C961" s="6" t="s">
        <v>3389</v>
      </c>
      <c r="D961" s="6" t="s">
        <v>3390</v>
      </c>
      <c r="F961" s="26"/>
      <c r="G961" s="8">
        <v>438</v>
      </c>
      <c r="H961" s="21" t="s">
        <v>1898</v>
      </c>
      <c r="I961" s="9">
        <f t="shared" si="62"/>
        <v>80</v>
      </c>
      <c r="J961" s="9">
        <f t="shared" si="61"/>
        <v>3</v>
      </c>
      <c r="K961" s="10" t="str">
        <f t="shared" si="60"/>
        <v>S2R80B3</v>
      </c>
      <c r="L961" s="10" t="s">
        <v>1899</v>
      </c>
      <c r="M961" s="10">
        <f>IF(Table1[[#This Row],[ID ROW]]&lt;=12,Table1[[#This Row],[ID ROW]],Table1[[#This Row],[ID ROW]]+INT((Table1[[#This Row],[ID ROW]]-1)/12)*2)</f>
        <v>92</v>
      </c>
      <c r="N961" s="10" t="str">
        <f t="shared" si="63"/>
        <v>LSR92B3</v>
      </c>
      <c r="O961" s="10">
        <f>IF(Table1[[#This Row],[ID ROW]]&lt;=12,1,INT((Table1[[#This Row],[ID ROW]]-1)/12)+1)</f>
        <v>7</v>
      </c>
      <c r="P961" s="10">
        <f>Table1[[#This Row],[ID ROW]]-((Table1[[#This Row],[SECT]]-1)*12)</f>
        <v>8</v>
      </c>
    </row>
    <row r="962" spans="1:16" ht="15.75" customHeight="1" x14ac:dyDescent="0.3">
      <c r="A962" s="6" t="s">
        <v>3391</v>
      </c>
      <c r="B962" s="6" t="s">
        <v>3392</v>
      </c>
      <c r="C962" s="6" t="s">
        <v>3393</v>
      </c>
      <c r="F962" s="26"/>
      <c r="G962" s="8">
        <v>439</v>
      </c>
      <c r="H962" s="21" t="s">
        <v>1898</v>
      </c>
      <c r="I962" s="9">
        <f t="shared" si="62"/>
        <v>80</v>
      </c>
      <c r="J962" s="9">
        <f t="shared" si="61"/>
        <v>4</v>
      </c>
      <c r="K962" s="10" t="str">
        <f t="shared" si="60"/>
        <v>S2R80B4</v>
      </c>
      <c r="L962" s="10" t="s">
        <v>1899</v>
      </c>
      <c r="M962" s="10">
        <f>IF(Table1[[#This Row],[ID ROW]]&lt;=12,Table1[[#This Row],[ID ROW]],Table1[[#This Row],[ID ROW]]+INT((Table1[[#This Row],[ID ROW]]-1)/12)*2)</f>
        <v>92</v>
      </c>
      <c r="N962" s="10" t="str">
        <f t="shared" si="63"/>
        <v>LSR92B4</v>
      </c>
      <c r="O962" s="10">
        <f>IF(Table1[[#This Row],[ID ROW]]&lt;=12,1,INT((Table1[[#This Row],[ID ROW]]-1)/12)+1)</f>
        <v>7</v>
      </c>
      <c r="P962" s="10">
        <f>Table1[[#This Row],[ID ROW]]-((Table1[[#This Row],[SECT]]-1)*12)</f>
        <v>8</v>
      </c>
    </row>
    <row r="963" spans="1:16" ht="15.75" customHeight="1" x14ac:dyDescent="0.3">
      <c r="A963" s="6" t="s">
        <v>3394</v>
      </c>
      <c r="B963" s="6" t="s">
        <v>3395</v>
      </c>
      <c r="C963" s="6" t="s">
        <v>194</v>
      </c>
      <c r="D963" s="6" t="s">
        <v>195</v>
      </c>
      <c r="F963" s="26"/>
      <c r="G963" s="8">
        <v>440</v>
      </c>
      <c r="H963" s="21" t="s">
        <v>1898</v>
      </c>
      <c r="I963" s="9">
        <f t="shared" si="62"/>
        <v>80</v>
      </c>
      <c r="J963" s="9">
        <f t="shared" si="61"/>
        <v>5</v>
      </c>
      <c r="K963" s="10" t="str">
        <f t="shared" ref="K963:K989" si="64">H963&amp;"R"&amp;I963&amp;"B"&amp;J963</f>
        <v>S2R80B5</v>
      </c>
      <c r="L963" s="10" t="s">
        <v>1899</v>
      </c>
      <c r="M963" s="10">
        <f>IF(Table1[[#This Row],[ID ROW]]&lt;=12,Table1[[#This Row],[ID ROW]],Table1[[#This Row],[ID ROW]]+INT((Table1[[#This Row],[ID ROW]]-1)/12)*2)</f>
        <v>92</v>
      </c>
      <c r="N963" s="10" t="str">
        <f t="shared" si="63"/>
        <v>LSR92B5</v>
      </c>
      <c r="O963" s="10">
        <f>IF(Table1[[#This Row],[ID ROW]]&lt;=12,1,INT((Table1[[#This Row],[ID ROW]]-1)/12)+1)</f>
        <v>7</v>
      </c>
      <c r="P963" s="10">
        <f>Table1[[#This Row],[ID ROW]]-((Table1[[#This Row],[SECT]]-1)*12)</f>
        <v>8</v>
      </c>
    </row>
    <row r="964" spans="1:16" ht="15.75" customHeight="1" x14ac:dyDescent="0.25">
      <c r="A964" s="6" t="s">
        <v>165</v>
      </c>
      <c r="B964" s="6" t="s">
        <v>3396</v>
      </c>
      <c r="C964" s="6" t="s">
        <v>3397</v>
      </c>
      <c r="D964" s="6" t="s">
        <v>3398</v>
      </c>
      <c r="F964" s="7"/>
      <c r="G964" s="8">
        <v>441</v>
      </c>
      <c r="H964" s="21" t="s">
        <v>1898</v>
      </c>
      <c r="I964" s="9">
        <f t="shared" si="62"/>
        <v>81</v>
      </c>
      <c r="J964" s="9">
        <f t="shared" si="61"/>
        <v>1</v>
      </c>
      <c r="K964" s="10" t="str">
        <f t="shared" si="64"/>
        <v>S2R81B1</v>
      </c>
      <c r="L964" s="10" t="s">
        <v>1899</v>
      </c>
      <c r="M964" s="10">
        <f>IF(Table1[[#This Row],[ID ROW]]&lt;=12,Table1[[#This Row],[ID ROW]],Table1[[#This Row],[ID ROW]]+INT((Table1[[#This Row],[ID ROW]]-1)/12)*2)</f>
        <v>93</v>
      </c>
      <c r="N964" s="10" t="str">
        <f t="shared" si="63"/>
        <v>LSR93B1</v>
      </c>
      <c r="O964" s="10">
        <f>IF(Table1[[#This Row],[ID ROW]]&lt;=12,1,INT((Table1[[#This Row],[ID ROW]]-1)/12)+1)</f>
        <v>7</v>
      </c>
      <c r="P964" s="10">
        <f>Table1[[#This Row],[ID ROW]]-((Table1[[#This Row],[SECT]]-1)*12)</f>
        <v>9</v>
      </c>
    </row>
    <row r="965" spans="1:16" ht="15.75" customHeight="1" x14ac:dyDescent="0.3">
      <c r="A965" s="6" t="s">
        <v>3399</v>
      </c>
      <c r="B965" s="6" t="s">
        <v>3400</v>
      </c>
      <c r="C965" s="6" t="s">
        <v>3401</v>
      </c>
      <c r="D965" s="6" t="s">
        <v>3402</v>
      </c>
      <c r="F965" s="13"/>
      <c r="G965" s="8">
        <v>442</v>
      </c>
      <c r="H965" s="21" t="s">
        <v>1898</v>
      </c>
      <c r="I965" s="9">
        <f t="shared" si="62"/>
        <v>81</v>
      </c>
      <c r="J965" s="9">
        <f t="shared" si="61"/>
        <v>2</v>
      </c>
      <c r="K965" s="10" t="str">
        <f t="shared" si="64"/>
        <v>S2R81B2</v>
      </c>
      <c r="L965" s="10" t="s">
        <v>1899</v>
      </c>
      <c r="M965" s="10">
        <f>IF(Table1[[#This Row],[ID ROW]]&lt;=12,Table1[[#This Row],[ID ROW]],Table1[[#This Row],[ID ROW]]+INT((Table1[[#This Row],[ID ROW]]-1)/12)*2)</f>
        <v>93</v>
      </c>
      <c r="N965" s="10" t="str">
        <f t="shared" si="63"/>
        <v>LSR93B2</v>
      </c>
      <c r="O965" s="10">
        <f>IF(Table1[[#This Row],[ID ROW]]&lt;=12,1,INT((Table1[[#This Row],[ID ROW]]-1)/12)+1)</f>
        <v>7</v>
      </c>
      <c r="P965" s="10">
        <f>Table1[[#This Row],[ID ROW]]-((Table1[[#This Row],[SECT]]-1)*12)</f>
        <v>9</v>
      </c>
    </row>
    <row r="966" spans="1:16" ht="15.75" customHeight="1" x14ac:dyDescent="0.25">
      <c r="A966" s="6" t="s">
        <v>43</v>
      </c>
      <c r="B966" s="6" t="s">
        <v>3403</v>
      </c>
      <c r="C966" s="6" t="s">
        <v>3404</v>
      </c>
      <c r="D966" s="6" t="s">
        <v>3405</v>
      </c>
      <c r="F966" s="7"/>
      <c r="G966" s="8">
        <v>443</v>
      </c>
      <c r="H966" s="21" t="s">
        <v>1898</v>
      </c>
      <c r="I966" s="9">
        <f t="shared" si="62"/>
        <v>81</v>
      </c>
      <c r="J966" s="9">
        <f t="shared" si="61"/>
        <v>3</v>
      </c>
      <c r="K966" s="10" t="str">
        <f t="shared" si="64"/>
        <v>S2R81B3</v>
      </c>
      <c r="L966" s="10" t="s">
        <v>1899</v>
      </c>
      <c r="M966" s="10">
        <f>IF(Table1[[#This Row],[ID ROW]]&lt;=12,Table1[[#This Row],[ID ROW]],Table1[[#This Row],[ID ROW]]+INT((Table1[[#This Row],[ID ROW]]-1)/12)*2)</f>
        <v>93</v>
      </c>
      <c r="N966" s="10" t="str">
        <f t="shared" si="63"/>
        <v>LSR93B3</v>
      </c>
      <c r="O966" s="10">
        <f>IF(Table1[[#This Row],[ID ROW]]&lt;=12,1,INT((Table1[[#This Row],[ID ROW]]-1)/12)+1)</f>
        <v>7</v>
      </c>
      <c r="P966" s="10">
        <f>Table1[[#This Row],[ID ROW]]-((Table1[[#This Row],[SECT]]-1)*12)</f>
        <v>9</v>
      </c>
    </row>
    <row r="967" spans="1:16" ht="15.75" customHeight="1" x14ac:dyDescent="0.3">
      <c r="A967" s="6" t="s">
        <v>165</v>
      </c>
      <c r="B967" s="6" t="s">
        <v>3406</v>
      </c>
      <c r="C967" s="6" t="s">
        <v>3407</v>
      </c>
      <c r="D967" s="6" t="s">
        <v>3408</v>
      </c>
      <c r="F967" s="13"/>
      <c r="G967" s="8">
        <v>444</v>
      </c>
      <c r="H967" s="21" t="s">
        <v>1898</v>
      </c>
      <c r="I967" s="9">
        <f t="shared" si="62"/>
        <v>81</v>
      </c>
      <c r="J967" s="9">
        <f t="shared" si="61"/>
        <v>4</v>
      </c>
      <c r="K967" s="10" t="str">
        <f t="shared" si="64"/>
        <v>S2R81B4</v>
      </c>
      <c r="L967" s="10" t="s">
        <v>1899</v>
      </c>
      <c r="M967" s="10">
        <f>IF(Table1[[#This Row],[ID ROW]]&lt;=12,Table1[[#This Row],[ID ROW]],Table1[[#This Row],[ID ROW]]+INT((Table1[[#This Row],[ID ROW]]-1)/12)*2)</f>
        <v>93</v>
      </c>
      <c r="N967" s="10" t="str">
        <f t="shared" si="63"/>
        <v>LSR93B4</v>
      </c>
      <c r="O967" s="10">
        <f>IF(Table1[[#This Row],[ID ROW]]&lt;=12,1,INT((Table1[[#This Row],[ID ROW]]-1)/12)+1)</f>
        <v>7</v>
      </c>
      <c r="P967" s="10">
        <f>Table1[[#This Row],[ID ROW]]-((Table1[[#This Row],[SECT]]-1)*12)</f>
        <v>9</v>
      </c>
    </row>
    <row r="968" spans="1:16" ht="15.75" customHeight="1" x14ac:dyDescent="0.25">
      <c r="A968" s="6" t="s">
        <v>3409</v>
      </c>
      <c r="B968" s="6" t="s">
        <v>3410</v>
      </c>
      <c r="C968" s="6" t="s">
        <v>3411</v>
      </c>
      <c r="D968" s="6" t="s">
        <v>3412</v>
      </c>
      <c r="F968" s="7"/>
      <c r="G968" s="8">
        <v>445</v>
      </c>
      <c r="H968" s="21" t="s">
        <v>1898</v>
      </c>
      <c r="I968" s="9">
        <f t="shared" si="62"/>
        <v>81</v>
      </c>
      <c r="J968" s="9">
        <f t="shared" si="61"/>
        <v>5</v>
      </c>
      <c r="K968" s="10" t="str">
        <f t="shared" si="64"/>
        <v>S2R81B5</v>
      </c>
      <c r="L968" s="10" t="s">
        <v>1899</v>
      </c>
      <c r="M968" s="10">
        <f>IF(Table1[[#This Row],[ID ROW]]&lt;=12,Table1[[#This Row],[ID ROW]],Table1[[#This Row],[ID ROW]]+INT((Table1[[#This Row],[ID ROW]]-1)/12)*2)</f>
        <v>93</v>
      </c>
      <c r="N968" s="10" t="str">
        <f t="shared" si="63"/>
        <v>LSR93B5</v>
      </c>
      <c r="O968" s="10">
        <f>IF(Table1[[#This Row],[ID ROW]]&lt;=12,1,INT((Table1[[#This Row],[ID ROW]]-1)/12)+1)</f>
        <v>7</v>
      </c>
      <c r="P968" s="10">
        <f>Table1[[#This Row],[ID ROW]]-((Table1[[#This Row],[SECT]]-1)*12)</f>
        <v>9</v>
      </c>
    </row>
    <row r="969" spans="1:16" ht="15.75" customHeight="1" x14ac:dyDescent="0.3">
      <c r="A969" s="6" t="s">
        <v>43</v>
      </c>
      <c r="B969" s="6" t="s">
        <v>3413</v>
      </c>
      <c r="C969" s="6" t="s">
        <v>3414</v>
      </c>
      <c r="D969" s="6" t="s">
        <v>3415</v>
      </c>
      <c r="F969" s="13"/>
      <c r="G969" s="8">
        <v>446</v>
      </c>
      <c r="H969" s="21" t="s">
        <v>1898</v>
      </c>
      <c r="I969" s="9">
        <f t="shared" si="62"/>
        <v>81</v>
      </c>
      <c r="J969" s="9">
        <f t="shared" si="61"/>
        <v>6</v>
      </c>
      <c r="K969" s="10" t="str">
        <f t="shared" si="64"/>
        <v>S2R81B6</v>
      </c>
      <c r="L969" s="10" t="s">
        <v>1899</v>
      </c>
      <c r="M969" s="10">
        <f>IF(Table1[[#This Row],[ID ROW]]&lt;=12,Table1[[#This Row],[ID ROW]],Table1[[#This Row],[ID ROW]]+INT((Table1[[#This Row],[ID ROW]]-1)/12)*2)</f>
        <v>93</v>
      </c>
      <c r="N969" s="10" t="str">
        <f t="shared" si="63"/>
        <v>LSR93B6</v>
      </c>
      <c r="O969" s="10">
        <f>IF(Table1[[#This Row],[ID ROW]]&lt;=12,1,INT((Table1[[#This Row],[ID ROW]]-1)/12)+1)</f>
        <v>7</v>
      </c>
      <c r="P969" s="10">
        <f>Table1[[#This Row],[ID ROW]]-((Table1[[#This Row],[SECT]]-1)*12)</f>
        <v>9</v>
      </c>
    </row>
    <row r="970" spans="1:16" ht="15.75" customHeight="1" x14ac:dyDescent="0.25">
      <c r="A970" s="6" t="s">
        <v>3416</v>
      </c>
      <c r="B970" s="6" t="s">
        <v>52</v>
      </c>
      <c r="C970" s="6" t="s">
        <v>3417</v>
      </c>
      <c r="D970" s="6" t="s">
        <v>3418</v>
      </c>
      <c r="F970" s="7"/>
      <c r="G970" s="8">
        <v>447</v>
      </c>
      <c r="H970" s="21" t="s">
        <v>1898</v>
      </c>
      <c r="I970" s="9">
        <f t="shared" si="62"/>
        <v>82</v>
      </c>
      <c r="J970" s="9">
        <f t="shared" si="61"/>
        <v>1</v>
      </c>
      <c r="K970" s="10" t="str">
        <f t="shared" si="64"/>
        <v>S2R82B1</v>
      </c>
      <c r="L970" s="10" t="s">
        <v>1899</v>
      </c>
      <c r="M970" s="10">
        <f>IF(Table1[[#This Row],[ID ROW]]&lt;=12,Table1[[#This Row],[ID ROW]],Table1[[#This Row],[ID ROW]]+INT((Table1[[#This Row],[ID ROW]]-1)/12)*2)</f>
        <v>94</v>
      </c>
      <c r="N970" s="10" t="str">
        <f t="shared" si="63"/>
        <v>LSR94B1</v>
      </c>
      <c r="O970" s="10">
        <f>IF(Table1[[#This Row],[ID ROW]]&lt;=12,1,INT((Table1[[#This Row],[ID ROW]]-1)/12)+1)</f>
        <v>7</v>
      </c>
      <c r="P970" s="10">
        <f>Table1[[#This Row],[ID ROW]]-((Table1[[#This Row],[SECT]]-1)*12)</f>
        <v>10</v>
      </c>
    </row>
    <row r="971" spans="1:16" ht="15.75" customHeight="1" x14ac:dyDescent="0.3">
      <c r="A971" s="6" t="s">
        <v>3419</v>
      </c>
      <c r="B971" s="6" t="s">
        <v>3420</v>
      </c>
      <c r="C971" s="6" t="s">
        <v>3421</v>
      </c>
      <c r="F971" s="13"/>
      <c r="G971" s="8">
        <v>448</v>
      </c>
      <c r="H971" s="21" t="s">
        <v>1898</v>
      </c>
      <c r="I971" s="9">
        <f t="shared" si="62"/>
        <v>82</v>
      </c>
      <c r="J971" s="9">
        <f t="shared" si="61"/>
        <v>2</v>
      </c>
      <c r="K971" s="10" t="str">
        <f t="shared" si="64"/>
        <v>S2R82B2</v>
      </c>
      <c r="L971" s="10" t="s">
        <v>1899</v>
      </c>
      <c r="M971" s="10">
        <f>IF(Table1[[#This Row],[ID ROW]]&lt;=12,Table1[[#This Row],[ID ROW]],Table1[[#This Row],[ID ROW]]+INT((Table1[[#This Row],[ID ROW]]-1)/12)*2)</f>
        <v>94</v>
      </c>
      <c r="N971" s="10" t="str">
        <f t="shared" si="63"/>
        <v>LSR94B2</v>
      </c>
      <c r="O971" s="10">
        <f>IF(Table1[[#This Row],[ID ROW]]&lt;=12,1,INT((Table1[[#This Row],[ID ROW]]-1)/12)+1)</f>
        <v>7</v>
      </c>
      <c r="P971" s="10">
        <f>Table1[[#This Row],[ID ROW]]-((Table1[[#This Row],[SECT]]-1)*12)</f>
        <v>10</v>
      </c>
    </row>
    <row r="972" spans="1:16" ht="15.75" customHeight="1" x14ac:dyDescent="0.25">
      <c r="A972" s="6" t="s">
        <v>3422</v>
      </c>
      <c r="B972" s="6" t="s">
        <v>3423</v>
      </c>
      <c r="C972" s="6" t="s">
        <v>3424</v>
      </c>
      <c r="D972" s="6" t="s">
        <v>3425</v>
      </c>
      <c r="F972" s="7"/>
      <c r="G972" s="8">
        <v>449</v>
      </c>
      <c r="H972" s="21" t="s">
        <v>1898</v>
      </c>
      <c r="I972" s="9">
        <f t="shared" si="62"/>
        <v>82</v>
      </c>
      <c r="J972" s="9">
        <f t="shared" si="61"/>
        <v>3</v>
      </c>
      <c r="K972" s="10" t="str">
        <f t="shared" si="64"/>
        <v>S2R82B3</v>
      </c>
      <c r="L972" s="10" t="s">
        <v>1899</v>
      </c>
      <c r="M972" s="10">
        <f>IF(Table1[[#This Row],[ID ROW]]&lt;=12,Table1[[#This Row],[ID ROW]],Table1[[#This Row],[ID ROW]]+INT((Table1[[#This Row],[ID ROW]]-1)/12)*2)</f>
        <v>94</v>
      </c>
      <c r="N972" s="10" t="str">
        <f t="shared" si="63"/>
        <v>LSR94B3</v>
      </c>
      <c r="O972" s="10">
        <f>IF(Table1[[#This Row],[ID ROW]]&lt;=12,1,INT((Table1[[#This Row],[ID ROW]]-1)/12)+1)</f>
        <v>7</v>
      </c>
      <c r="P972" s="10">
        <f>Table1[[#This Row],[ID ROW]]-((Table1[[#This Row],[SECT]]-1)*12)</f>
        <v>10</v>
      </c>
    </row>
    <row r="973" spans="1:16" ht="15.75" customHeight="1" x14ac:dyDescent="0.3">
      <c r="A973" s="6" t="s">
        <v>3426</v>
      </c>
      <c r="B973" s="6" t="s">
        <v>3427</v>
      </c>
      <c r="F973" s="13"/>
      <c r="G973" s="8">
        <v>450</v>
      </c>
      <c r="H973" s="21" t="s">
        <v>1898</v>
      </c>
      <c r="I973" s="9">
        <f t="shared" si="62"/>
        <v>82</v>
      </c>
      <c r="J973" s="9">
        <f t="shared" si="61"/>
        <v>4</v>
      </c>
      <c r="K973" s="10" t="str">
        <f t="shared" si="64"/>
        <v>S2R82B4</v>
      </c>
      <c r="L973" s="10" t="s">
        <v>1899</v>
      </c>
      <c r="M973" s="10">
        <f>IF(Table1[[#This Row],[ID ROW]]&lt;=12,Table1[[#This Row],[ID ROW]],Table1[[#This Row],[ID ROW]]+INT((Table1[[#This Row],[ID ROW]]-1)/12)*2)</f>
        <v>94</v>
      </c>
      <c r="N973" s="10" t="str">
        <f t="shared" si="63"/>
        <v>LSR94B4</v>
      </c>
      <c r="O973" s="10">
        <f>IF(Table1[[#This Row],[ID ROW]]&lt;=12,1,INT((Table1[[#This Row],[ID ROW]]-1)/12)+1)</f>
        <v>7</v>
      </c>
      <c r="P973" s="10">
        <f>Table1[[#This Row],[ID ROW]]-((Table1[[#This Row],[SECT]]-1)*12)</f>
        <v>10</v>
      </c>
    </row>
    <row r="974" spans="1:16" ht="15.75" customHeight="1" x14ac:dyDescent="0.25">
      <c r="A974" s="6" t="s">
        <v>3428</v>
      </c>
      <c r="B974" s="6" t="s">
        <v>3427</v>
      </c>
      <c r="C974" s="6" t="s">
        <v>3429</v>
      </c>
      <c r="F974" s="7"/>
      <c r="G974" s="8">
        <v>451</v>
      </c>
      <c r="H974" s="21" t="s">
        <v>1898</v>
      </c>
      <c r="I974" s="9">
        <f t="shared" si="62"/>
        <v>82</v>
      </c>
      <c r="J974" s="9">
        <f t="shared" si="61"/>
        <v>5</v>
      </c>
      <c r="K974" s="10" t="str">
        <f t="shared" si="64"/>
        <v>S2R82B5</v>
      </c>
      <c r="L974" s="10" t="s">
        <v>1899</v>
      </c>
      <c r="M974" s="10">
        <f>IF(Table1[[#This Row],[ID ROW]]&lt;=12,Table1[[#This Row],[ID ROW]],Table1[[#This Row],[ID ROW]]+INT((Table1[[#This Row],[ID ROW]]-1)/12)*2)</f>
        <v>94</v>
      </c>
      <c r="N974" s="10" t="str">
        <f t="shared" si="63"/>
        <v>LSR94B5</v>
      </c>
      <c r="O974" s="10">
        <f>IF(Table1[[#This Row],[ID ROW]]&lt;=12,1,INT((Table1[[#This Row],[ID ROW]]-1)/12)+1)</f>
        <v>7</v>
      </c>
      <c r="P974" s="10">
        <f>Table1[[#This Row],[ID ROW]]-((Table1[[#This Row],[SECT]]-1)*12)</f>
        <v>10</v>
      </c>
    </row>
    <row r="975" spans="1:16" ht="15.75" customHeight="1" x14ac:dyDescent="0.3">
      <c r="A975" s="6" t="s">
        <v>165</v>
      </c>
      <c r="B975" s="6" t="s">
        <v>3430</v>
      </c>
      <c r="C975" s="6" t="s">
        <v>3431</v>
      </c>
      <c r="F975" s="13"/>
      <c r="G975" s="8">
        <v>452</v>
      </c>
      <c r="H975" s="21" t="s">
        <v>1898</v>
      </c>
      <c r="I975" s="9">
        <f t="shared" si="62"/>
        <v>83</v>
      </c>
      <c r="J975" s="9">
        <f t="shared" si="61"/>
        <v>1</v>
      </c>
      <c r="K975" s="10" t="str">
        <f t="shared" si="64"/>
        <v>S2R83B1</v>
      </c>
      <c r="L975" s="10" t="s">
        <v>1899</v>
      </c>
      <c r="M975" s="10">
        <f>IF(Table1[[#This Row],[ID ROW]]&lt;=12,Table1[[#This Row],[ID ROW]],Table1[[#This Row],[ID ROW]]+INT((Table1[[#This Row],[ID ROW]]-1)/12)*2)</f>
        <v>95</v>
      </c>
      <c r="N975" s="10" t="str">
        <f t="shared" si="63"/>
        <v>LSR95B1</v>
      </c>
      <c r="O975" s="10">
        <f>IF(Table1[[#This Row],[ID ROW]]&lt;=12,1,INT((Table1[[#This Row],[ID ROW]]-1)/12)+1)</f>
        <v>7</v>
      </c>
      <c r="P975" s="10">
        <f>Table1[[#This Row],[ID ROW]]-((Table1[[#This Row],[SECT]]-1)*12)</f>
        <v>11</v>
      </c>
    </row>
    <row r="976" spans="1:16" ht="15.75" customHeight="1" x14ac:dyDescent="0.25">
      <c r="A976" s="6" t="s">
        <v>3432</v>
      </c>
      <c r="B976" s="6" t="s">
        <v>3433</v>
      </c>
      <c r="C976" s="6" t="s">
        <v>3434</v>
      </c>
      <c r="D976" s="6" t="s">
        <v>3435</v>
      </c>
      <c r="F976" s="7"/>
      <c r="G976" s="8">
        <v>453</v>
      </c>
      <c r="H976" s="21" t="s">
        <v>1898</v>
      </c>
      <c r="I976" s="9">
        <f t="shared" si="62"/>
        <v>83</v>
      </c>
      <c r="J976" s="9">
        <f t="shared" si="61"/>
        <v>2</v>
      </c>
      <c r="K976" s="10" t="str">
        <f t="shared" si="64"/>
        <v>S2R83B2</v>
      </c>
      <c r="L976" s="10" t="s">
        <v>1899</v>
      </c>
      <c r="M976" s="10">
        <f>IF(Table1[[#This Row],[ID ROW]]&lt;=12,Table1[[#This Row],[ID ROW]],Table1[[#This Row],[ID ROW]]+INT((Table1[[#This Row],[ID ROW]]-1)/12)*2)</f>
        <v>95</v>
      </c>
      <c r="N976" s="10" t="str">
        <f t="shared" si="63"/>
        <v>LSR95B2</v>
      </c>
      <c r="O976" s="10">
        <f>IF(Table1[[#This Row],[ID ROW]]&lt;=12,1,INT((Table1[[#This Row],[ID ROW]]-1)/12)+1)</f>
        <v>7</v>
      </c>
      <c r="P976" s="10">
        <f>Table1[[#This Row],[ID ROW]]-((Table1[[#This Row],[SECT]]-1)*12)</f>
        <v>11</v>
      </c>
    </row>
    <row r="977" spans="1:16" ht="15.75" customHeight="1" x14ac:dyDescent="0.3">
      <c r="A977" s="6" t="s">
        <v>3436</v>
      </c>
      <c r="B977" s="6" t="s">
        <v>3437</v>
      </c>
      <c r="C977" s="6" t="s">
        <v>3159</v>
      </c>
      <c r="F977" s="13"/>
      <c r="G977" s="8">
        <v>454</v>
      </c>
      <c r="H977" s="21" t="s">
        <v>1898</v>
      </c>
      <c r="I977" s="9">
        <f t="shared" si="62"/>
        <v>83</v>
      </c>
      <c r="J977" s="9">
        <f t="shared" si="61"/>
        <v>3</v>
      </c>
      <c r="K977" s="10" t="str">
        <f t="shared" si="64"/>
        <v>S2R83B3</v>
      </c>
      <c r="L977" s="10" t="s">
        <v>1899</v>
      </c>
      <c r="M977" s="10">
        <f>IF(Table1[[#This Row],[ID ROW]]&lt;=12,Table1[[#This Row],[ID ROW]],Table1[[#This Row],[ID ROW]]+INT((Table1[[#This Row],[ID ROW]]-1)/12)*2)</f>
        <v>95</v>
      </c>
      <c r="N977" s="10" t="str">
        <f t="shared" si="63"/>
        <v>LSR95B3</v>
      </c>
      <c r="O977" s="10">
        <f>IF(Table1[[#This Row],[ID ROW]]&lt;=12,1,INT((Table1[[#This Row],[ID ROW]]-1)/12)+1)</f>
        <v>7</v>
      </c>
      <c r="P977" s="10">
        <f>Table1[[#This Row],[ID ROW]]-((Table1[[#This Row],[SECT]]-1)*12)</f>
        <v>11</v>
      </c>
    </row>
    <row r="978" spans="1:16" ht="15.75" customHeight="1" x14ac:dyDescent="0.25">
      <c r="A978" s="6" t="s">
        <v>3438</v>
      </c>
      <c r="B978" s="6" t="s">
        <v>1305</v>
      </c>
      <c r="C978" s="6" t="s">
        <v>1306</v>
      </c>
      <c r="D978" s="6" t="s">
        <v>264</v>
      </c>
      <c r="F978" s="7"/>
      <c r="G978" s="8">
        <v>455</v>
      </c>
      <c r="H978" s="21" t="s">
        <v>1898</v>
      </c>
      <c r="I978" s="9">
        <f t="shared" si="62"/>
        <v>83</v>
      </c>
      <c r="J978" s="9">
        <f t="shared" si="61"/>
        <v>4</v>
      </c>
      <c r="K978" s="10" t="str">
        <f t="shared" si="64"/>
        <v>S2R83B4</v>
      </c>
      <c r="L978" s="10" t="s">
        <v>1899</v>
      </c>
      <c r="M978" s="10">
        <f>IF(Table1[[#This Row],[ID ROW]]&lt;=12,Table1[[#This Row],[ID ROW]],Table1[[#This Row],[ID ROW]]+INT((Table1[[#This Row],[ID ROW]]-1)/12)*2)</f>
        <v>95</v>
      </c>
      <c r="N978" s="10" t="str">
        <f t="shared" si="63"/>
        <v>LSR95B4</v>
      </c>
      <c r="O978" s="10">
        <f>IF(Table1[[#This Row],[ID ROW]]&lt;=12,1,INT((Table1[[#This Row],[ID ROW]]-1)/12)+1)</f>
        <v>7</v>
      </c>
      <c r="P978" s="10">
        <f>Table1[[#This Row],[ID ROW]]-((Table1[[#This Row],[SECT]]-1)*12)</f>
        <v>11</v>
      </c>
    </row>
    <row r="979" spans="1:16" ht="15.75" customHeight="1" x14ac:dyDescent="0.3">
      <c r="A979" s="6" t="s">
        <v>3439</v>
      </c>
      <c r="B979" s="6" t="s">
        <v>3440</v>
      </c>
      <c r="C979" s="6" t="s">
        <v>3441</v>
      </c>
      <c r="F979" s="13"/>
      <c r="G979" s="8">
        <v>456</v>
      </c>
      <c r="H979" s="21" t="s">
        <v>1898</v>
      </c>
      <c r="I979" s="9">
        <f t="shared" si="62"/>
        <v>83</v>
      </c>
      <c r="J979" s="9">
        <f t="shared" si="61"/>
        <v>5</v>
      </c>
      <c r="K979" s="10" t="str">
        <f t="shared" si="64"/>
        <v>S2R83B5</v>
      </c>
      <c r="L979" s="10" t="s">
        <v>1899</v>
      </c>
      <c r="M979" s="10">
        <f>IF(Table1[[#This Row],[ID ROW]]&lt;=12,Table1[[#This Row],[ID ROW]],Table1[[#This Row],[ID ROW]]+INT((Table1[[#This Row],[ID ROW]]-1)/12)*2)</f>
        <v>95</v>
      </c>
      <c r="N979" s="10" t="str">
        <f t="shared" si="63"/>
        <v>LSR95B5</v>
      </c>
      <c r="O979" s="10">
        <f>IF(Table1[[#This Row],[ID ROW]]&lt;=12,1,INT((Table1[[#This Row],[ID ROW]]-1)/12)+1)</f>
        <v>7</v>
      </c>
      <c r="P979" s="10">
        <f>Table1[[#This Row],[ID ROW]]-((Table1[[#This Row],[SECT]]-1)*12)</f>
        <v>11</v>
      </c>
    </row>
    <row r="980" spans="1:16" ht="15.75" customHeight="1" x14ac:dyDescent="0.25">
      <c r="A980" s="6" t="s">
        <v>3442</v>
      </c>
      <c r="B980" s="6" t="s">
        <v>3443</v>
      </c>
      <c r="C980" s="6" t="s">
        <v>296</v>
      </c>
      <c r="F980" s="7"/>
      <c r="G980" s="8">
        <v>457</v>
      </c>
      <c r="H980" s="21" t="s">
        <v>1898</v>
      </c>
      <c r="I980" s="9">
        <f t="shared" si="62"/>
        <v>83</v>
      </c>
      <c r="J980" s="9">
        <f t="shared" si="61"/>
        <v>6</v>
      </c>
      <c r="K980" s="10" t="str">
        <f t="shared" si="64"/>
        <v>S2R83B6</v>
      </c>
      <c r="L980" s="10" t="s">
        <v>1899</v>
      </c>
      <c r="M980" s="10">
        <f>IF(Table1[[#This Row],[ID ROW]]&lt;=12,Table1[[#This Row],[ID ROW]],Table1[[#This Row],[ID ROW]]+INT((Table1[[#This Row],[ID ROW]]-1)/12)*2)</f>
        <v>95</v>
      </c>
      <c r="N980" s="10" t="str">
        <f t="shared" si="63"/>
        <v>LSR95B6</v>
      </c>
      <c r="O980" s="10">
        <f>IF(Table1[[#This Row],[ID ROW]]&lt;=12,1,INT((Table1[[#This Row],[ID ROW]]-1)/12)+1)</f>
        <v>7</v>
      </c>
      <c r="P980" s="10">
        <f>Table1[[#This Row],[ID ROW]]-((Table1[[#This Row],[SECT]]-1)*12)</f>
        <v>11</v>
      </c>
    </row>
    <row r="981" spans="1:16" ht="15.75" customHeight="1" x14ac:dyDescent="0.3">
      <c r="A981" s="6" t="s">
        <v>3444</v>
      </c>
      <c r="B981" s="6" t="s">
        <v>3445</v>
      </c>
      <c r="F981" s="13" t="s">
        <v>347</v>
      </c>
      <c r="G981" s="8">
        <v>458</v>
      </c>
      <c r="H981" s="21" t="s">
        <v>1898</v>
      </c>
      <c r="I981" s="9">
        <f t="shared" si="62"/>
        <v>84</v>
      </c>
      <c r="J981" s="9">
        <f t="shared" si="61"/>
        <v>1</v>
      </c>
      <c r="K981" s="10" t="str">
        <f t="shared" si="64"/>
        <v>S2R84B1</v>
      </c>
      <c r="L981" s="10" t="s">
        <v>1899</v>
      </c>
      <c r="M981" s="10">
        <f>IF(Table1[[#This Row],[ID ROW]]&lt;=12,Table1[[#This Row],[ID ROW]],Table1[[#This Row],[ID ROW]]+INT((Table1[[#This Row],[ID ROW]]-1)/12)*2)</f>
        <v>96</v>
      </c>
      <c r="N981" s="10" t="str">
        <f t="shared" si="63"/>
        <v>LSR96B1</v>
      </c>
      <c r="O981" s="10">
        <f>IF(Table1[[#This Row],[ID ROW]]&lt;=12,1,INT((Table1[[#This Row],[ID ROW]]-1)/12)+1)</f>
        <v>7</v>
      </c>
      <c r="P981" s="10">
        <f>Table1[[#This Row],[ID ROW]]-((Table1[[#This Row],[SECT]]-1)*12)</f>
        <v>12</v>
      </c>
    </row>
    <row r="982" spans="1:16" ht="15.75" customHeight="1" x14ac:dyDescent="0.25">
      <c r="A982" s="6" t="s">
        <v>165</v>
      </c>
      <c r="B982" s="6" t="s">
        <v>3446</v>
      </c>
      <c r="C982" s="6" t="s">
        <v>150</v>
      </c>
      <c r="F982" s="7"/>
      <c r="G982" s="8">
        <v>459</v>
      </c>
      <c r="H982" s="21" t="s">
        <v>1898</v>
      </c>
      <c r="I982" s="9">
        <f t="shared" si="62"/>
        <v>84</v>
      </c>
      <c r="J982" s="9">
        <f t="shared" si="61"/>
        <v>2</v>
      </c>
      <c r="K982" s="10" t="str">
        <f t="shared" si="64"/>
        <v>S2R84B2</v>
      </c>
      <c r="L982" s="10" t="s">
        <v>1899</v>
      </c>
      <c r="M982" s="10">
        <f>IF(Table1[[#This Row],[ID ROW]]&lt;=12,Table1[[#This Row],[ID ROW]],Table1[[#This Row],[ID ROW]]+INT((Table1[[#This Row],[ID ROW]]-1)/12)*2)</f>
        <v>96</v>
      </c>
      <c r="N982" s="10" t="str">
        <f t="shared" si="63"/>
        <v>LSR96B2</v>
      </c>
      <c r="O982" s="10">
        <f>IF(Table1[[#This Row],[ID ROW]]&lt;=12,1,INT((Table1[[#This Row],[ID ROW]]-1)/12)+1)</f>
        <v>7</v>
      </c>
      <c r="P982" s="10">
        <f>Table1[[#This Row],[ID ROW]]-((Table1[[#This Row],[SECT]]-1)*12)</f>
        <v>12</v>
      </c>
    </row>
    <row r="983" spans="1:16" ht="15.75" customHeight="1" x14ac:dyDescent="0.3">
      <c r="A983" s="6" t="s">
        <v>3447</v>
      </c>
      <c r="B983" s="6" t="s">
        <v>3448</v>
      </c>
      <c r="C983" s="6" t="s">
        <v>3159</v>
      </c>
      <c r="D983" s="6" t="s">
        <v>3449</v>
      </c>
      <c r="F983" s="13"/>
      <c r="G983" s="8">
        <v>460</v>
      </c>
      <c r="H983" s="21" t="s">
        <v>1898</v>
      </c>
      <c r="I983" s="9">
        <f t="shared" si="62"/>
        <v>84</v>
      </c>
      <c r="J983" s="9">
        <f t="shared" si="61"/>
        <v>3</v>
      </c>
      <c r="K983" s="10" t="str">
        <f t="shared" si="64"/>
        <v>S2R84B3</v>
      </c>
      <c r="L983" s="10" t="s">
        <v>1899</v>
      </c>
      <c r="M983" s="10">
        <f>IF(Table1[[#This Row],[ID ROW]]&lt;=12,Table1[[#This Row],[ID ROW]],Table1[[#This Row],[ID ROW]]+INT((Table1[[#This Row],[ID ROW]]-1)/12)*2)</f>
        <v>96</v>
      </c>
      <c r="N983" s="10" t="str">
        <f t="shared" si="63"/>
        <v>LSR96B3</v>
      </c>
      <c r="O983" s="10">
        <f>IF(Table1[[#This Row],[ID ROW]]&lt;=12,1,INT((Table1[[#This Row],[ID ROW]]-1)/12)+1)</f>
        <v>7</v>
      </c>
      <c r="P983" s="10">
        <f>Table1[[#This Row],[ID ROW]]-((Table1[[#This Row],[SECT]]-1)*12)</f>
        <v>12</v>
      </c>
    </row>
    <row r="984" spans="1:16" ht="15.75" customHeight="1" x14ac:dyDescent="0.25">
      <c r="A984" s="6" t="s">
        <v>3450</v>
      </c>
      <c r="B984" s="6" t="s">
        <v>106</v>
      </c>
      <c r="C984" s="6" t="s">
        <v>1238</v>
      </c>
      <c r="D984" s="15">
        <v>2016</v>
      </c>
      <c r="F984" s="7" t="s">
        <v>3451</v>
      </c>
      <c r="G984" s="8">
        <v>461</v>
      </c>
      <c r="H984" s="21" t="s">
        <v>1898</v>
      </c>
      <c r="I984" s="9">
        <f t="shared" si="62"/>
        <v>84</v>
      </c>
      <c r="J984" s="9">
        <f t="shared" si="61"/>
        <v>4</v>
      </c>
      <c r="K984" s="10" t="str">
        <f t="shared" si="64"/>
        <v>S2R84B4</v>
      </c>
      <c r="L984" s="10" t="s">
        <v>1899</v>
      </c>
      <c r="M984" s="10">
        <f>IF(Table1[[#This Row],[ID ROW]]&lt;=12,Table1[[#This Row],[ID ROW]],Table1[[#This Row],[ID ROW]]+INT((Table1[[#This Row],[ID ROW]]-1)/12)*2)</f>
        <v>96</v>
      </c>
      <c r="N984" s="10" t="str">
        <f t="shared" si="63"/>
        <v>LSR96B4</v>
      </c>
      <c r="O984" s="10">
        <f>IF(Table1[[#This Row],[ID ROW]]&lt;=12,1,INT((Table1[[#This Row],[ID ROW]]-1)/12)+1)</f>
        <v>7</v>
      </c>
      <c r="P984" s="10">
        <f>Table1[[#This Row],[ID ROW]]-((Table1[[#This Row],[SECT]]-1)*12)</f>
        <v>12</v>
      </c>
    </row>
    <row r="985" spans="1:16" ht="15.75" customHeight="1" x14ac:dyDescent="0.3">
      <c r="A985" s="6" t="s">
        <v>165</v>
      </c>
      <c r="B985" s="6" t="s">
        <v>3452</v>
      </c>
      <c r="C985" s="6" t="s">
        <v>3453</v>
      </c>
      <c r="D985" s="6" t="s">
        <v>35</v>
      </c>
      <c r="F985" s="13" t="s">
        <v>3454</v>
      </c>
      <c r="G985" s="8">
        <v>462</v>
      </c>
      <c r="H985" s="21" t="s">
        <v>1898</v>
      </c>
      <c r="I985" s="9">
        <f t="shared" si="62"/>
        <v>84</v>
      </c>
      <c r="J985" s="9">
        <f t="shared" si="61"/>
        <v>5</v>
      </c>
      <c r="K985" s="10" t="str">
        <f t="shared" si="64"/>
        <v>S2R84B5</v>
      </c>
      <c r="L985" s="10" t="s">
        <v>1899</v>
      </c>
      <c r="M985" s="10">
        <f>IF(Table1[[#This Row],[ID ROW]]&lt;=12,Table1[[#This Row],[ID ROW]],Table1[[#This Row],[ID ROW]]+INT((Table1[[#This Row],[ID ROW]]-1)/12)*2)</f>
        <v>96</v>
      </c>
      <c r="N985" s="10" t="str">
        <f t="shared" si="63"/>
        <v>LSR96B5</v>
      </c>
      <c r="O985" s="10">
        <f>IF(Table1[[#This Row],[ID ROW]]&lt;=12,1,INT((Table1[[#This Row],[ID ROW]]-1)/12)+1)</f>
        <v>7</v>
      </c>
      <c r="P985" s="10">
        <f>Table1[[#This Row],[ID ROW]]-((Table1[[#This Row],[SECT]]-1)*12)</f>
        <v>12</v>
      </c>
    </row>
    <row r="986" spans="1:16" ht="15.75" customHeight="1" x14ac:dyDescent="0.3">
      <c r="F986" s="26"/>
      <c r="G986" s="8">
        <v>463</v>
      </c>
      <c r="H986" s="21" t="s">
        <v>1898</v>
      </c>
      <c r="I986" s="9">
        <f t="shared" si="62"/>
        <v>85</v>
      </c>
      <c r="J986" s="9">
        <f t="shared" si="61"/>
        <v>1</v>
      </c>
      <c r="K986" s="10" t="str">
        <f t="shared" si="64"/>
        <v>S2R85B1</v>
      </c>
      <c r="L986" s="10" t="s">
        <v>1899</v>
      </c>
      <c r="M986" s="10">
        <f>IF(Table1[[#This Row],[ID ROW]]&lt;=12,Table1[[#This Row],[ID ROW]],Table1[[#This Row],[ID ROW]]+INT((Table1[[#This Row],[ID ROW]]-1)/12)*2)</f>
        <v>99</v>
      </c>
      <c r="N986" s="10" t="str">
        <f t="shared" si="63"/>
        <v>LSR99B1</v>
      </c>
      <c r="O986" s="10">
        <f>IF(Table1[[#This Row],[ID ROW]]&lt;=12,1,INT((Table1[[#This Row],[ID ROW]]-1)/12)+1)</f>
        <v>8</v>
      </c>
      <c r="P986" s="10">
        <f>Table1[[#This Row],[ID ROW]]-((Table1[[#This Row],[SECT]]-1)*12)</f>
        <v>1</v>
      </c>
    </row>
    <row r="987" spans="1:16" ht="15.75" customHeight="1" x14ac:dyDescent="0.3">
      <c r="F987" s="26"/>
      <c r="G987" s="8">
        <v>464</v>
      </c>
      <c r="H987" s="21" t="s">
        <v>1898</v>
      </c>
      <c r="I987" s="9">
        <f t="shared" si="62"/>
        <v>85</v>
      </c>
      <c r="J987" s="9">
        <f t="shared" ref="J987:J989" si="65">IF(MOD(G987-1,11)&lt;6,(MOD(G987-1,11)+1-(5*FLOOR(MOD(G987-1,11),6))),(MOD(G987-1,11))-5)</f>
        <v>2</v>
      </c>
      <c r="K987" s="10" t="str">
        <f t="shared" si="64"/>
        <v>S2R85B2</v>
      </c>
      <c r="L987" s="10" t="s">
        <v>1899</v>
      </c>
      <c r="M987" s="10">
        <f>IF(Table1[[#This Row],[ID ROW]]&lt;=12,Table1[[#This Row],[ID ROW]],Table1[[#This Row],[ID ROW]]+INT((Table1[[#This Row],[ID ROW]]-1)/12)*2)</f>
        <v>99</v>
      </c>
      <c r="N987" s="10" t="str">
        <f t="shared" si="63"/>
        <v>LSR99B2</v>
      </c>
      <c r="O987" s="10">
        <f>IF(Table1[[#This Row],[ID ROW]]&lt;=12,1,INT((Table1[[#This Row],[ID ROW]]-1)/12)+1)</f>
        <v>8</v>
      </c>
      <c r="P987" s="10">
        <f>Table1[[#This Row],[ID ROW]]-((Table1[[#This Row],[SECT]]-1)*12)</f>
        <v>1</v>
      </c>
    </row>
    <row r="988" spans="1:16" ht="15.75" customHeight="1" x14ac:dyDescent="0.3">
      <c r="F988" s="26"/>
      <c r="G988" s="8">
        <v>465</v>
      </c>
      <c r="H988" s="21" t="s">
        <v>1898</v>
      </c>
      <c r="I988" s="9">
        <f t="shared" ref="I988:I989" si="66">INT((G988-1)/11)*2 + IF(MOD(G988-1, 11) &lt; 6, 1, 2)</f>
        <v>85</v>
      </c>
      <c r="J988" s="9">
        <f t="shared" si="65"/>
        <v>3</v>
      </c>
      <c r="K988" s="10" t="str">
        <f t="shared" si="64"/>
        <v>S2R85B3</v>
      </c>
      <c r="L988" s="10" t="s">
        <v>1899</v>
      </c>
      <c r="M988" s="10">
        <f>IF(Table1[[#This Row],[ID ROW]]&lt;=12,Table1[[#This Row],[ID ROW]],Table1[[#This Row],[ID ROW]]+INT((Table1[[#This Row],[ID ROW]]-1)/12)*2)</f>
        <v>99</v>
      </c>
      <c r="N988" s="10" t="str">
        <f t="shared" ref="N988:N989" si="67">L988&amp;"R"&amp;M988&amp;"B"&amp;J988</f>
        <v>LSR99B3</v>
      </c>
      <c r="O988" s="10">
        <f>IF(Table1[[#This Row],[ID ROW]]&lt;=12,1,INT((Table1[[#This Row],[ID ROW]]-1)/12)+1)</f>
        <v>8</v>
      </c>
      <c r="P988" s="10">
        <f>Table1[[#This Row],[ID ROW]]-((Table1[[#This Row],[SECT]]-1)*12)</f>
        <v>1</v>
      </c>
    </row>
    <row r="989" spans="1:16" ht="15.75" customHeight="1" x14ac:dyDescent="0.25">
      <c r="A989" s="6" t="s">
        <v>234</v>
      </c>
      <c r="B989" s="6" t="s">
        <v>3455</v>
      </c>
      <c r="C989" s="6" t="s">
        <v>1683</v>
      </c>
      <c r="D989" s="6" t="s">
        <v>1684</v>
      </c>
      <c r="F989" s="7" t="s">
        <v>3456</v>
      </c>
      <c r="G989" s="8">
        <v>466</v>
      </c>
      <c r="H989" s="21" t="s">
        <v>1898</v>
      </c>
      <c r="I989" s="9">
        <f t="shared" si="66"/>
        <v>85</v>
      </c>
      <c r="J989" s="9">
        <f t="shared" si="65"/>
        <v>4</v>
      </c>
      <c r="K989" s="10" t="str">
        <f t="shared" si="64"/>
        <v>S2R85B4</v>
      </c>
      <c r="L989" s="10" t="s">
        <v>1899</v>
      </c>
      <c r="M989" s="10">
        <f>IF(Table1[[#This Row],[ID ROW]]&lt;=12,Table1[[#This Row],[ID ROW]],Table1[[#This Row],[ID ROW]]+INT((Table1[[#This Row],[ID ROW]]-1)/12)*2)</f>
        <v>99</v>
      </c>
      <c r="N989" s="10" t="str">
        <f t="shared" si="67"/>
        <v>LSR99B4</v>
      </c>
      <c r="O989" s="10">
        <f>IF(Table1[[#This Row],[ID ROW]]&lt;=12,1,INT((Table1[[#This Row],[ID ROW]]-1)/12)+1)</f>
        <v>8</v>
      </c>
      <c r="P989" s="10">
        <f>Table1[[#This Row],[ID ROW]]-((Table1[[#This Row],[SECT]]-1)*12)</f>
        <v>1</v>
      </c>
    </row>
    <row r="990" spans="1:16" ht="15.75" customHeight="1" x14ac:dyDescent="0.3"/>
    <row r="991" spans="1:16" ht="15.75" customHeight="1" x14ac:dyDescent="0.3"/>
    <row r="992" spans="1:16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  <row r="1072" ht="15.75" customHeight="1" x14ac:dyDescent="0.3"/>
    <row r="1073" ht="15.75" customHeight="1" x14ac:dyDescent="0.3"/>
    <row r="1074" ht="15.75" customHeight="1" x14ac:dyDescent="0.3"/>
    <row r="1075" ht="15.75" customHeight="1" x14ac:dyDescent="0.3"/>
    <row r="1076" ht="15.75" customHeight="1" x14ac:dyDescent="0.3"/>
    <row r="1077" ht="15.75" customHeight="1" x14ac:dyDescent="0.3"/>
    <row r="1078" ht="15.75" customHeight="1" x14ac:dyDescent="0.3"/>
    <row r="1079" ht="15.75" customHeight="1" x14ac:dyDescent="0.3"/>
    <row r="1080" ht="15.75" customHeight="1" x14ac:dyDescent="0.3"/>
    <row r="1081" ht="15.75" customHeight="1" x14ac:dyDescent="0.3"/>
    <row r="1082" ht="15.75" customHeight="1" x14ac:dyDescent="0.3"/>
    <row r="1083" ht="15.75" customHeight="1" x14ac:dyDescent="0.3"/>
    <row r="1084" ht="15.75" customHeight="1" x14ac:dyDescent="0.3"/>
    <row r="1085" ht="15.75" customHeight="1" x14ac:dyDescent="0.3"/>
    <row r="1086" ht="15.75" customHeight="1" x14ac:dyDescent="0.3"/>
    <row r="1087" ht="15.75" customHeight="1" x14ac:dyDescent="0.3"/>
    <row r="1088" ht="15.75" customHeight="1" x14ac:dyDescent="0.3"/>
    <row r="1089" ht="15.75" customHeight="1" x14ac:dyDescent="0.3"/>
    <row r="1090" ht="15.75" customHeight="1" x14ac:dyDescent="0.3"/>
    <row r="1091" ht="15.75" customHeight="1" x14ac:dyDescent="0.3"/>
    <row r="1092" ht="15.75" customHeight="1" x14ac:dyDescent="0.3"/>
    <row r="1093" ht="15.75" customHeight="1" x14ac:dyDescent="0.3"/>
    <row r="1094" ht="15.75" customHeight="1" x14ac:dyDescent="0.3"/>
    <row r="1095" ht="15.75" customHeight="1" x14ac:dyDescent="0.3"/>
    <row r="1096" ht="15.75" customHeight="1" x14ac:dyDescent="0.3"/>
    <row r="1097" ht="15.75" customHeight="1" x14ac:dyDescent="0.3"/>
    <row r="1098" ht="15.75" customHeight="1" x14ac:dyDescent="0.3"/>
    <row r="1099" ht="15.75" customHeight="1" x14ac:dyDescent="0.3"/>
    <row r="1100" ht="15.75" customHeight="1" x14ac:dyDescent="0.3"/>
    <row r="1101" ht="15.75" customHeight="1" x14ac:dyDescent="0.3"/>
    <row r="1102" ht="15.75" customHeight="1" x14ac:dyDescent="0.3"/>
    <row r="1103" ht="15.75" customHeight="1" x14ac:dyDescent="0.3"/>
    <row r="1104" ht="15.75" customHeight="1" x14ac:dyDescent="0.3"/>
    <row r="1105" ht="15.75" customHeight="1" x14ac:dyDescent="0.3"/>
    <row r="1106" ht="15.75" customHeight="1" x14ac:dyDescent="0.3"/>
    <row r="1107" ht="15.75" customHeight="1" x14ac:dyDescent="0.3"/>
    <row r="1108" ht="15.75" customHeight="1" x14ac:dyDescent="0.3"/>
    <row r="1109" ht="15.75" customHeight="1" x14ac:dyDescent="0.3"/>
    <row r="1110" ht="15.75" customHeight="1" x14ac:dyDescent="0.3"/>
    <row r="1111" ht="15.75" customHeight="1" x14ac:dyDescent="0.3"/>
    <row r="1112" ht="15.75" customHeight="1" x14ac:dyDescent="0.3"/>
    <row r="1113" ht="15.75" customHeight="1" x14ac:dyDescent="0.3"/>
    <row r="1114" ht="15.75" customHeight="1" x14ac:dyDescent="0.3"/>
    <row r="1115" ht="15.75" customHeight="1" x14ac:dyDescent="0.3"/>
    <row r="1116" ht="15.75" customHeight="1" x14ac:dyDescent="0.3"/>
    <row r="1117" ht="15.75" customHeight="1" x14ac:dyDescent="0.3"/>
    <row r="1118" ht="15.75" customHeight="1" x14ac:dyDescent="0.3"/>
    <row r="1119" ht="15.75" customHeight="1" x14ac:dyDescent="0.3"/>
    <row r="1120" ht="15.75" customHeight="1" x14ac:dyDescent="0.3"/>
    <row r="1121" ht="15.75" customHeight="1" x14ac:dyDescent="0.3"/>
    <row r="1122" ht="15.75" customHeight="1" x14ac:dyDescent="0.3"/>
    <row r="1123" ht="15.75" customHeight="1" x14ac:dyDescent="0.3"/>
    <row r="1124" ht="15.75" customHeight="1" x14ac:dyDescent="0.3"/>
    <row r="1125" ht="15.75" customHeight="1" x14ac:dyDescent="0.3"/>
    <row r="1126" ht="15.75" customHeight="1" x14ac:dyDescent="0.3"/>
    <row r="1127" ht="15.75" customHeight="1" x14ac:dyDescent="0.3"/>
    <row r="1128" ht="15.75" customHeight="1" x14ac:dyDescent="0.3"/>
    <row r="1129" ht="15.75" customHeight="1" x14ac:dyDescent="0.3"/>
    <row r="1130" ht="15.75" customHeight="1" x14ac:dyDescent="0.3"/>
    <row r="1131" ht="15.75" customHeight="1" x14ac:dyDescent="0.3"/>
    <row r="1132" ht="15.75" customHeight="1" x14ac:dyDescent="0.3"/>
    <row r="1133" ht="15.75" customHeight="1" x14ac:dyDescent="0.3"/>
    <row r="1134" ht="15.75" customHeight="1" x14ac:dyDescent="0.3"/>
    <row r="1135" ht="15.75" customHeight="1" x14ac:dyDescent="0.3"/>
    <row r="1136" ht="15.75" customHeight="1" x14ac:dyDescent="0.3"/>
    <row r="1137" ht="15.75" customHeight="1" x14ac:dyDescent="0.3"/>
    <row r="1138" ht="15.75" customHeight="1" x14ac:dyDescent="0.3"/>
    <row r="1139" ht="15.75" customHeight="1" x14ac:dyDescent="0.3"/>
    <row r="1140" ht="15.75" customHeight="1" x14ac:dyDescent="0.3"/>
    <row r="1141" ht="15.75" customHeight="1" x14ac:dyDescent="0.3"/>
    <row r="1142" ht="15.75" customHeight="1" x14ac:dyDescent="0.3"/>
    <row r="1143" ht="15.75" customHeight="1" x14ac:dyDescent="0.3"/>
    <row r="1144" ht="15.75" customHeight="1" x14ac:dyDescent="0.3"/>
    <row r="1145" ht="15.75" customHeight="1" x14ac:dyDescent="0.3"/>
    <row r="1146" ht="15.75" customHeight="1" x14ac:dyDescent="0.3"/>
    <row r="1147" ht="15.75" customHeight="1" x14ac:dyDescent="0.3"/>
    <row r="1148" ht="15.75" customHeight="1" x14ac:dyDescent="0.3"/>
    <row r="1149" ht="15.75" customHeight="1" x14ac:dyDescent="0.3"/>
    <row r="1150" ht="15.75" customHeight="1" x14ac:dyDescent="0.3"/>
    <row r="1151" ht="15.75" customHeight="1" x14ac:dyDescent="0.3"/>
    <row r="1152" ht="15.75" customHeight="1" x14ac:dyDescent="0.3"/>
    <row r="1153" ht="15.75" customHeight="1" x14ac:dyDescent="0.3"/>
    <row r="1154" ht="15.75" customHeight="1" x14ac:dyDescent="0.3"/>
    <row r="1155" ht="15.75" customHeight="1" x14ac:dyDescent="0.3"/>
    <row r="1156" ht="15.75" customHeight="1" x14ac:dyDescent="0.3"/>
    <row r="1157" ht="15.75" customHeight="1" x14ac:dyDescent="0.3"/>
    <row r="1158" ht="15.75" customHeight="1" x14ac:dyDescent="0.3"/>
    <row r="1159" ht="15.75" customHeight="1" x14ac:dyDescent="0.3"/>
    <row r="1160" ht="15.75" customHeight="1" x14ac:dyDescent="0.3"/>
    <row r="1161" ht="15.75" customHeight="1" x14ac:dyDescent="0.3"/>
    <row r="1162" ht="15.75" customHeight="1" x14ac:dyDescent="0.3"/>
    <row r="1163" ht="15.75" customHeight="1" x14ac:dyDescent="0.3"/>
    <row r="1164" ht="15.75" customHeight="1" x14ac:dyDescent="0.3"/>
    <row r="1165" ht="15.75" customHeight="1" x14ac:dyDescent="0.3"/>
    <row r="1166" ht="15.75" customHeight="1" x14ac:dyDescent="0.3"/>
    <row r="1167" ht="15.75" customHeight="1" x14ac:dyDescent="0.3"/>
    <row r="1168" ht="15.75" customHeight="1" x14ac:dyDescent="0.3"/>
    <row r="1169" ht="15.75" customHeight="1" x14ac:dyDescent="0.3"/>
    <row r="1170" ht="15.75" customHeight="1" x14ac:dyDescent="0.3"/>
    <row r="1171" ht="15.75" customHeight="1" x14ac:dyDescent="0.3"/>
    <row r="1172" ht="15.75" customHeight="1" x14ac:dyDescent="0.3"/>
    <row r="1173" ht="15.75" customHeight="1" x14ac:dyDescent="0.3"/>
    <row r="1174" ht="15.75" customHeight="1" x14ac:dyDescent="0.3"/>
    <row r="1175" ht="15.75" customHeight="1" x14ac:dyDescent="0.3"/>
    <row r="1176" ht="15.75" customHeight="1" x14ac:dyDescent="0.3"/>
    <row r="1177" ht="15.75" customHeight="1" x14ac:dyDescent="0.3"/>
    <row r="1178" ht="15.75" customHeight="1" x14ac:dyDescent="0.3"/>
    <row r="1179" ht="15.75" customHeight="1" x14ac:dyDescent="0.3"/>
    <row r="1180" ht="15.75" customHeight="1" x14ac:dyDescent="0.3"/>
    <row r="1181" ht="15.75" customHeight="1" x14ac:dyDescent="0.3"/>
    <row r="1182" ht="15.75" customHeight="1" x14ac:dyDescent="0.3"/>
    <row r="1183" ht="15.75" customHeight="1" x14ac:dyDescent="0.3"/>
    <row r="1184" ht="15.75" customHeight="1" x14ac:dyDescent="0.3"/>
    <row r="1185" ht="15.75" customHeight="1" x14ac:dyDescent="0.3"/>
    <row r="1186" ht="15.75" customHeight="1" x14ac:dyDescent="0.3"/>
    <row r="1187" ht="15.75" customHeight="1" x14ac:dyDescent="0.3"/>
    <row r="1188" ht="15.75" customHeight="1" x14ac:dyDescent="0.3"/>
    <row r="1189" ht="15.75" customHeight="1" x14ac:dyDescent="0.3"/>
    <row r="1190" ht="15.75" customHeight="1" x14ac:dyDescent="0.3"/>
    <row r="1191" ht="15.75" customHeight="1" x14ac:dyDescent="0.3"/>
    <row r="1192" ht="15.75" customHeight="1" x14ac:dyDescent="0.3"/>
    <row r="1193" ht="15.75" customHeight="1" x14ac:dyDescent="0.3"/>
    <row r="1194" ht="15.75" customHeight="1" x14ac:dyDescent="0.3"/>
    <row r="1195" ht="15.75" customHeight="1" x14ac:dyDescent="0.3"/>
    <row r="1196" ht="15.75" customHeight="1" x14ac:dyDescent="0.3"/>
    <row r="1197" ht="15.75" customHeight="1" x14ac:dyDescent="0.3"/>
    <row r="1198" ht="15.75" customHeight="1" x14ac:dyDescent="0.3"/>
    <row r="1199" ht="15.75" customHeight="1" x14ac:dyDescent="0.3"/>
    <row r="1200" ht="15.75" customHeight="1" x14ac:dyDescent="0.3"/>
  </sheetData>
  <pageMargins left="0.7" right="0.7" top="0.75" bottom="0.75" header="0" footer="0"/>
  <pageSetup paperSize="5" scale="77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McAndrews III</dc:creator>
  <cp:lastModifiedBy>Tom McAndrews III</cp:lastModifiedBy>
  <dcterms:created xsi:type="dcterms:W3CDTF">2026-06-01T17:23:10Z</dcterms:created>
  <dcterms:modified xsi:type="dcterms:W3CDTF">2026-06-01T17:37:28Z</dcterms:modified>
</cp:coreProperties>
</file>